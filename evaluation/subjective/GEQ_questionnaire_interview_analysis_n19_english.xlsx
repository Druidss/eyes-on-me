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998808b45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Q_33" sheetId="1" r:id="Rc451357f9e4d4d16"/>
    <x:sheet xmlns:r="http://schemas.openxmlformats.org/officeDocument/2006/relationships" name="GEQ_Raw" sheetId="2" r:id="Rb083300b4c7c4d97"/>
    <x:sheet xmlns:r="http://schemas.openxmlformats.org/officeDocument/2006/relationships" name="Custom_8" sheetId="3" r:id="Rfe8898d5dca04ac6"/>
    <x:sheet xmlns:r="http://schemas.openxmlformats.org/officeDocument/2006/relationships" name="Custom_Raw" sheetId="4" r:id="R7f40f9751b1a4647"/>
    <x:sheet xmlns:r="http://schemas.openxmlformats.org/officeDocument/2006/relationships" name="Open_Questions" sheetId="5" r:id="R9b1b9829edbb4f39"/>
    <x:sheet xmlns:r="http://schemas.openxmlformats.org/officeDocument/2006/relationships" name="Key_Insights" sheetId="6" r:id="R1de7005f145d4448"/>
    <x:sheet xmlns:r="http://schemas.openxmlformats.org/officeDocument/2006/relationships" name="P01" sheetId="7" r:id="Rfc9549ce27fa4b3d"/>
    <x:sheet xmlns:r="http://schemas.openxmlformats.org/officeDocument/2006/relationships" name="P02" sheetId="8" r:id="R16a5c2403aaf4657"/>
    <x:sheet xmlns:r="http://schemas.openxmlformats.org/officeDocument/2006/relationships" name="P03" sheetId="9" r:id="Rb651a6c70f0a425a"/>
    <x:sheet xmlns:r="http://schemas.openxmlformats.org/officeDocument/2006/relationships" name="P04" sheetId="10" r:id="Rbbef0722353740da"/>
    <x:sheet xmlns:r="http://schemas.openxmlformats.org/officeDocument/2006/relationships" name="P05" sheetId="11" r:id="Ra05363de9cad4b63"/>
    <x:sheet xmlns:r="http://schemas.openxmlformats.org/officeDocument/2006/relationships" name="P06" sheetId="12" r:id="Rfe62e0c8b1b84c04"/>
    <x:sheet xmlns:r="http://schemas.openxmlformats.org/officeDocument/2006/relationships" name="P07" sheetId="13" r:id="R99cf5d1f05a748fb"/>
    <x:sheet xmlns:r="http://schemas.openxmlformats.org/officeDocument/2006/relationships" name="P08" sheetId="14" r:id="Rc17d42cffd084c7b"/>
    <x:sheet xmlns:r="http://schemas.openxmlformats.org/officeDocument/2006/relationships" name="P09" sheetId="15" r:id="R9235b257d92c4e26"/>
    <x:sheet xmlns:r="http://schemas.openxmlformats.org/officeDocument/2006/relationships" name="P10" sheetId="16" r:id="R8877865bcf494f2d"/>
    <x:sheet xmlns:r="http://schemas.openxmlformats.org/officeDocument/2006/relationships" name="P11" sheetId="17" r:id="R606598bd16734863"/>
    <x:sheet xmlns:r="http://schemas.openxmlformats.org/officeDocument/2006/relationships" name="P12" sheetId="18" r:id="R71190d444e614576"/>
    <x:sheet xmlns:r="http://schemas.openxmlformats.org/officeDocument/2006/relationships" name="P13" sheetId="19" r:id="R4c6d1d33815e4248"/>
    <x:sheet xmlns:r="http://schemas.openxmlformats.org/officeDocument/2006/relationships" name="P14" sheetId="20" r:id="R1a68a3b3930a44cb"/>
    <x:sheet xmlns:r="http://schemas.openxmlformats.org/officeDocument/2006/relationships" name="P15" sheetId="21" r:id="R90f9c81007b147a2"/>
    <x:sheet xmlns:r="http://schemas.openxmlformats.org/officeDocument/2006/relationships" name="P16" sheetId="22" r:id="R27f084e95cb94c07"/>
    <x:sheet xmlns:r="http://schemas.openxmlformats.org/officeDocument/2006/relationships" name="P17" sheetId="23" r:id="R1383145afd7d4a27"/>
    <x:sheet xmlns:r="http://schemas.openxmlformats.org/officeDocument/2006/relationships" name="P18" sheetId="24" r:id="Rf4d88670d39f471a"/>
    <x:sheet xmlns:r="http://schemas.openxmlformats.org/officeDocument/2006/relationships" name="P19" sheetId="25" r:id="R49457bb329144646"/>
  </x:sheets>
</x:workbook>
</file>

<file path=xl/comments1.xml><?xml version="1.0" encoding="utf-8"?>
<x:comments xmlns:x="http://schemas.openxmlformats.org/spreadsheetml/2006/main">
  <x:authors>
    <x:author>tc={681CCFCF-651D-7A09-9ABE-48CE92DC439B}</x:author>
  </x:authors>
  <x:commentList>
    <x:comment ref="I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Cronbach’s α is calculated from this study’s 19 questionnaire respondents for the items in each GEQ component. It is an internal-consistency diagnostic, not a GEQ dimension score. Official scoring source: https://pure.tue.nl/ws/portalfiles/portal/21666907/Game_Experience_Questionnaire_English.pdf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12B"/>
      <x:name val="Carlito"/>
    </x:font>
    <x:font>
      <x:sz val="9"/>
      <x:color rgb="FF5E6B75"/>
      <x:name val="Carlito"/>
    </x:font>
    <x:font>
      <x:b/>
      <x:sz val="9"/>
      <x:color rgb="FF17212B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sz val="9"/>
      <x:color rgb="FF17212B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9"/>
      <x:color rgb="FF1721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EEF1F3"/>
      </x:patternFill>
    </x:fill>
    <x:fill>
      <x:patternFill patternType="solid">
        <x:fgColor rgb="FFF8EACD"/>
      </x:patternFill>
    </x:fill>
    <x:fill>
      <x:patternFill patternType="solid">
        <x:fgColor rgb="FFDDEFEF"/>
      </x:patternFill>
    </x:fill>
    <x:fill>
      <x:patternFill patternType="solid">
        <x:fgColor rgb="FF247B7B"/>
      </x:patternFill>
    </x:fill>
  </x:fills>
  <x:borders count="16">
    <x:border/>
    <x:border>
      <x:left style="thin">
        <x:color rgb="FFC98C2B"/>
      </x:left>
      <x:top style="thin">
        <x:color rgb="FFC98C2B"/>
      </x:top>
      <x:bottom style="thin">
        <x:color rgb="FFC98C2B"/>
      </x:bottom>
    </x:border>
    <x:border>
      <x:top style="thin">
        <x:color rgb="FFC98C2B"/>
      </x:top>
      <x:bottom style="thin">
        <x:color rgb="FFC98C2B"/>
      </x:bottom>
    </x:border>
    <x:border>
      <x:right style="thin">
        <x:color rgb="FFC98C2B"/>
      </x:right>
      <x:top style="thin">
        <x:color rgb="FFC98C2B"/>
      </x:top>
      <x:bottom style="thin">
        <x:color rgb="FFC98C2B"/>
      </x:bottom>
    </x:border>
    <x:border>
      <x:left style="thin">
        <x:color rgb="FFC8D1D8"/>
      </x:left>
      <x:top style="thin">
        <x:color rgb="FFC8D1D8"/>
      </x:top>
      <x:bottom style="thin">
        <x:color rgb="FFC8D1D8"/>
      </x:bottom>
    </x:border>
    <x:border>
      <x:top style="thin">
        <x:color rgb="FFC8D1D8"/>
      </x:top>
      <x:bottom style="thin">
        <x:color rgb="FFC8D1D8"/>
      </x:bottom>
    </x:border>
    <x:border>
      <x:right style="thin">
        <x:color rgb="FFC8D1D8"/>
      </x:right>
      <x:top style="thin">
        <x:color rgb="FFC8D1D8"/>
      </x:top>
      <x:bottom style="thin">
        <x:color rgb="FFC8D1D8"/>
      </x:bottom>
    </x:border>
    <x:border>
      <x:left style="thin">
        <x:color rgb="FF247B7B"/>
      </x:left>
      <x:top style="thin">
        <x:color rgb="FF247B7B"/>
      </x:top>
      <x:bottom style="thin">
        <x:color rgb="FF247B7B"/>
      </x:bottom>
    </x:border>
    <x:border>
      <x:top style="thin">
        <x:color rgb="FF247B7B"/>
      </x:top>
      <x:bottom style="thin">
        <x:color rgb="FF247B7B"/>
      </x:bottom>
    </x:border>
    <x:border>
      <x:right style="thin">
        <x:color rgb="FF247B7B"/>
      </x:right>
      <x:top style="thin">
        <x:color rgb="FF247B7B"/>
      </x:top>
      <x:bottom style="thin">
        <x:color rgb="FF247B7B"/>
      </x:bottom>
    </x:border>
    <x:border>
      <x:bottom style="thin">
        <x:color rgb="FFC8D1D8"/>
      </x:bottom>
    </x:border>
    <x:border>
      <x:left style="thin">
        <x:color rgb="FFC8D1D8"/>
      </x:left>
      <x:top style="thin">
        <x:color rgb="FFC8D1D8"/>
      </x:top>
    </x:border>
    <x:border>
      <x:top style="thin">
        <x:color rgb="FFC8D1D8"/>
      </x:top>
    </x:border>
    <x:border>
      <x:right style="thin">
        <x:color rgb="FFC8D1D8"/>
      </x:right>
      <x:top style="thin">
        <x:color rgb="FFC8D1D8"/>
      </x:top>
    </x:border>
    <x:border>
      <x:left style="thin">
        <x:color rgb="FFC8D1D8"/>
      </x:left>
      <x:bottom style="thin">
        <x:color rgb="FFC8D1D8"/>
      </x:bottom>
    </x:border>
    <x:border>
      <x:right style="thin">
        <x:color rgb="FFC8D1D8"/>
      </x:right>
      <x:bottom style="thin">
        <x:color rgb="FFC8D1D8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5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  <x:xf numFmtId="200" fontId="7" fillId="0" borderId="5" xfId="0" applyNumberFormat="1" applyFont="1" applyFill="1" applyBorder="1" applyAlignment="1">
      <x:alignment vertical="top" wrapText="1"/>
    </x:xf>
    <x:xf numFmtId="201" fontId="7" fillId="0" borderId="10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wrapText="1"/>
    </x:xf>
    <x:xf numFmtId="0" fontId="8" fillId="5" borderId="3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2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5" xfId="0" applyNumberFormat="1" applyFont="1" applyFill="1" applyBorder="1"/>
    <x:xf numFmtId="0" fontId="8" fillId="4" borderId="10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1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202" fontId="7" fillId="0" borderId="10" xfId="0" applyNumberFormat="1" applyFont="1" applyFill="1" applyBorder="1" applyAlignment="1">
      <x:alignment vertical="top" wrapText="1"/>
    </x:xf>
    <x:xf numFmtId="202" fontId="7" fillId="0" borderId="5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11" xfId="0" applyNumberFormat="1" applyFont="1" applyFill="1" applyBorder="1"/>
    <x:xf numFmtId="0" fontId="11" fillId="3" borderId="12" xfId="0" applyNumberFormat="1" applyFont="1" applyFill="1" applyBorder="1"/>
    <x:xf numFmtId="0" fontId="11" fillId="3" borderId="13" xfId="0" applyNumberFormat="1" applyFont="1" applyFill="1" applyBorder="1"/>
    <x:xf numFmtId="0" fontId="11" fillId="3" borderId="14" xfId="0" applyNumberFormat="1" applyFont="1" applyFill="1" applyBorder="1"/>
    <x:xf numFmtId="0" fontId="11" fillId="3" borderId="10" xfId="0" applyNumberFormat="1" applyFont="1" applyFill="1" applyBorder="1"/>
    <x:xf numFmtId="0" fontId="11" fillId="3" borderId="15" xfId="0" applyNumberFormat="1" applyFont="1" applyFill="1" applyBorder="1"/>
    <x:xf numFmtId="0" fontId="11" fillId="3" borderId="11" xfId="0" applyNumberFormat="1" applyFont="1" applyFill="1" applyBorder="1" applyAlignment="1">
      <x:alignment wrapText="1"/>
    </x:xf>
    <x:xf numFmtId="0" fontId="11" fillId="3" borderId="12" xfId="0" applyNumberFormat="1" applyFont="1" applyFill="1" applyBorder="1" applyAlignment="1">
      <x:alignment wrapText="1"/>
    </x:xf>
    <x:xf numFmtId="0" fontId="11" fillId="3" borderId="13" xfId="0" applyNumberFormat="1" applyFont="1" applyFill="1" applyBorder="1" applyAlignment="1">
      <x:alignment wrapText="1"/>
    </x:xf>
    <x:xf numFmtId="0" fontId="11" fillId="3" borderId="14" xfId="0" applyNumberFormat="1" applyFont="1" applyFill="1" applyBorder="1" applyAlignment="1">
      <x:alignment wrapText="1"/>
    </x:xf>
    <x:xf numFmtId="0" fontId="11" fillId="3" borderId="10" xfId="0" applyNumberFormat="1" applyFont="1" applyFill="1" applyBorder="1" applyAlignment="1">
      <x:alignment wrapText="1"/>
    </x:xf>
    <x:xf numFmtId="0" fontId="11" fillId="3" borderId="15" xfId="0" applyNumberFormat="1" applyFont="1" applyFill="1" applyBorder="1" applyAlignment="1">
      <x:alignment wrapText="1"/>
    </x:xf>
    <x:xf numFmtId="0" fontId="11" fillId="3" borderId="11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0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B54A4A"/>
      </x:font>
      <x:fill>
        <x:patternFill>
          <x:bgColor rgb="FFF7E1E1"/>
        </x:patternFill>
      </x:fill>
    </x:dxf>
    <x:dxf>
      <x:font>
        <x:b/>
        <x:color rgb="FFB54A4A"/>
      </x:font>
      <x:fill>
        <x:patternFill>
          <x:bgColor rgb="FFF7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6f01dd77c44c9" /><Relationship Type="http://schemas.openxmlformats.org/officeDocument/2006/relationships/theme" Target="/xl/theme/theme1.xml" Id="R6522e0cafeae40e1" /><Relationship Type="http://schemas.openxmlformats.org/officeDocument/2006/relationships/sharedStrings" Target="/xl/sharedStrings.xml" Id="R1b050a22869a470a" /><Relationship Type="http://schemas.openxmlformats.org/officeDocument/2006/relationships/worksheet" Target="/xl/worksheets/sheet1.xml" Id="Rc451357f9e4d4d16" /><Relationship Type="http://schemas.openxmlformats.org/officeDocument/2006/relationships/worksheet" Target="/xl/worksheets/sheet2.xml" Id="Rb083300b4c7c4d97" /><Relationship Type="http://schemas.openxmlformats.org/officeDocument/2006/relationships/worksheet" Target="/xl/worksheets/sheet3.xml" Id="Rfe8898d5dca04ac6" /><Relationship Type="http://schemas.openxmlformats.org/officeDocument/2006/relationships/worksheet" Target="/xl/worksheets/sheet4.xml" Id="R7f40f9751b1a4647" /><Relationship Type="http://schemas.openxmlformats.org/officeDocument/2006/relationships/worksheet" Target="/xl/worksheets/sheet5.xml" Id="R9b1b9829edbb4f39" /><Relationship Type="http://schemas.openxmlformats.org/officeDocument/2006/relationships/worksheet" Target="/xl/worksheets/sheet6.xml" Id="R1de7005f145d4448" /><Relationship Type="http://schemas.openxmlformats.org/officeDocument/2006/relationships/worksheet" Target="/xl/worksheets/sheet7.xml" Id="Rfc9549ce27fa4b3d" /><Relationship Type="http://schemas.openxmlformats.org/officeDocument/2006/relationships/worksheet" Target="/xl/worksheets/sheet8.xml" Id="R16a5c2403aaf4657" /><Relationship Type="http://schemas.openxmlformats.org/officeDocument/2006/relationships/worksheet" Target="/xl/worksheets/sheet9.xml" Id="Rb651a6c70f0a425a" /><Relationship Type="http://schemas.openxmlformats.org/officeDocument/2006/relationships/worksheet" Target="/xl/worksheets/sheet10.xml" Id="Rbbef0722353740da" /><Relationship Type="http://schemas.openxmlformats.org/officeDocument/2006/relationships/worksheet" Target="/xl/worksheets/sheet11.xml" Id="Ra05363de9cad4b63" /><Relationship Type="http://schemas.openxmlformats.org/officeDocument/2006/relationships/worksheet" Target="/xl/worksheets/sheet12.xml" Id="Rfe62e0c8b1b84c04" /><Relationship Type="http://schemas.openxmlformats.org/officeDocument/2006/relationships/worksheet" Target="/xl/worksheets/sheet13.xml" Id="R99cf5d1f05a748fb" /><Relationship Type="http://schemas.openxmlformats.org/officeDocument/2006/relationships/worksheet" Target="/xl/worksheets/sheet14.xml" Id="Rc17d42cffd084c7b" /><Relationship Type="http://schemas.openxmlformats.org/officeDocument/2006/relationships/worksheet" Target="/xl/worksheets/sheet15.xml" Id="R9235b257d92c4e26" /><Relationship Type="http://schemas.openxmlformats.org/officeDocument/2006/relationships/worksheet" Target="/xl/worksheets/sheet16.xml" Id="R8877865bcf494f2d" /><Relationship Type="http://schemas.openxmlformats.org/officeDocument/2006/relationships/worksheet" Target="/xl/worksheets/sheet17.xml" Id="R606598bd16734863" /><Relationship Type="http://schemas.openxmlformats.org/officeDocument/2006/relationships/worksheet" Target="/xl/worksheets/sheet18.xml" Id="R71190d444e614576" /><Relationship Type="http://schemas.openxmlformats.org/officeDocument/2006/relationships/worksheet" Target="/xl/worksheets/sheet19.xml" Id="R4c6d1d33815e4248" /><Relationship Type="http://schemas.openxmlformats.org/officeDocument/2006/relationships/worksheet" Target="/xl/worksheets/sheet20.xml" Id="R1a68a3b3930a44cb" /><Relationship Type="http://schemas.openxmlformats.org/officeDocument/2006/relationships/worksheet" Target="/xl/worksheets/sheet21.xml" Id="R90f9c81007b147a2" /><Relationship Type="http://schemas.openxmlformats.org/officeDocument/2006/relationships/worksheet" Target="/xl/worksheets/sheet22.xml" Id="R27f084e95cb94c07" /><Relationship Type="http://schemas.openxmlformats.org/officeDocument/2006/relationships/worksheet" Target="/xl/worksheets/sheet23.xml" Id="R1383145afd7d4a27" /><Relationship Type="http://schemas.openxmlformats.org/officeDocument/2006/relationships/worksheet" Target="/xl/worksheets/sheet24.xml" Id="Rf4d88670d39f471a" /><Relationship Type="http://schemas.openxmlformats.org/officeDocument/2006/relationships/worksheet" Target="/xl/worksheets/sheet25.xml" Id="R49457bb329144646" /><Relationship Type="http://schemas.microsoft.com/office/2017/10/relationships/person" Target="/xl/persons/person.xml" Id="R549dbb47ddd74035" /></Relationships>
</file>

<file path=xl/persons/person.xml><?xml version="1.0" encoding="utf-8"?>
<xltc:personList xmlns:xltc="http://schemas.microsoft.com/office/spreadsheetml/2018/threadedcomments">
  <xltc:person displayName="Yuxuan Yang" id="{8C0E8DE0-C754-42F8-9CDB-5B26377566B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6" dT="2026-07-12T13:04:14.035" personId="{8C0E8DE0-C754-42F8-9CDB-5B26377566BB}" id="{681CCFCF-651D-7A09-9ABE-48CE92DC439B}">
    <xltc:text>Cronbach’s α is calculated from this study’s 19 questionnaire respondents for the items in each GEQ component. It is an internal-consistency diagnostic, not a GEQ dimension score. Official scoring source: https://pure.tue.nl/ws/portalfiles/portal/21666907/Game_Experience_Questionnaire_English.pdf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48ff4df4a254750" /><Relationship Type="http://schemas.openxmlformats.org/officeDocument/2006/relationships/vmlDrawing" Target="/xl/drawings/vmldrawing.vml" Id="Rae1978b9b89f47f0" /><Relationship Type="http://schemas.microsoft.com/office/2017/10/relationships/threadedComment" Target="/xl/threadedcomments/threadedcomment.xml" Id="R1d5356740e1c48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1" hidden="0" customWidth="1"/>
    <x:col min="12" max="12" width="34" hidden="0" customWidth="1"/>
    <x:col min="13" max="13" width="4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6" t="str">
        <x:v>Game Experience Questionnaire (GEQ-33)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7"/>
      <x:c r="M1" s="67"/>
      <x:c r="N1" s="67"/>
      <x:c r="O1" s="67"/>
      <x:c r="P1" s="67"/>
      <x:c r="Q1" s="67"/>
    </x:row>
    <x:row r="2" ht="42" customHeight="1">
      <x:c r="A2" s="7" t="str">
        <x:v>19 valid participant records. Official component scoring uses item means. Responses were collected as 1–5; standard GEQ-compatible scores below use response − 1 (0–4). No overall GEQ score and no reverse-scored total are used.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4" customHeight="1">
      <x:c r="A3" s="10" t="str">
        <x:v>Sources</x:v>
      </x:c>
      <x:c r="B3" s="10" t="str">
        <x:v>Official GEQ manual</x:v>
      </x:c>
      <x:c r="C3" s="10" t="str">
        <x:v>https://pure.tue.nl/ws/portalfiles/portal/21666907/Game_Experience_Questionnaire_English.pdf</x:v>
      </x:c>
      <x:c r="D3" s="10" t="str">
        <x:v>Validation caveat</x:v>
      </x:c>
      <x:c r="E3" s="10" t="str">
        <x:v>Johnson et al. (2018), DOI 10.1016/j.ijhcs.2018.05.003; Law et al. (2018), https://figshare.le.ac.uk/articles/conference_contribution/10208981</x:v>
      </x:c>
      <x:c r="F3" s="10"/>
      <x:c r="G3" s="10"/>
      <x:c r="H3" s="10"/>
      <x:c r="I3" s="10"/>
      <x:c r="J3" s="10"/>
      <x:c r="K3" s="10"/>
    </x:row>
    <x:row r="4" ht="42" customHeight="1">
      <x:c r="A4" s="19" t="str">
        <x:v>Scoring rule: Official GEQ component score = mean of the listed items. Because this survey used 1–5, each response is converted to 0–4 by subtracting 1 before averaging. Higher scores mean more of that construct. There is no overall GEQ total and no reverse-scored total. Cronbach’s α in column I is reliability calculated from this study sample, not a participant score.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1"/>
    </x:row>
    <x:row r="5" ht="22" customHeight="1">
      <x:c r="A5" s="24" t="str">
        <x:v>Component summary (0–4; descriptive, exploratory)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6"/>
      <x:c r="M5" s="24" t="str">
        <x:v>Questionnaire coverage</x:v>
      </x:c>
      <x:c r="N5" s="25"/>
      <x:c r="O5" s="25"/>
      <x:c r="P5" s="25"/>
      <x:c r="Q5" s="26"/>
    </x:row>
    <x:row r="6" ht="28" customHeight="1">
      <x:c r="A6" s="35" t="str">
        <x:v>Component</x:v>
      </x:c>
      <x:c r="B6" s="36" t="str">
        <x:v>Official items</x:v>
      </x:c>
      <x:c r="C6" s="36" t="str">
        <x:v>N = 19</x:v>
      </x:c>
      <x:c r="D6" s="36" t="str">
        <x:v>Mean</x:v>
      </x:c>
      <x:c r="E6" s="36" t="str">
        <x:v>SD</x:v>
      </x:c>
      <x:c r="F6" s="36" t="str">
        <x:v>Median</x:v>
      </x:c>
      <x:c r="G6" s="36" t="str">
        <x:v>Min</x:v>
      </x:c>
      <x:c r="H6" s="36" t="str">
        <x:v>Max</x:v>
      </x:c>
      <x:c r="I6" s="36" t="str">
        <x:v>Cronbach α (reliability)</x:v>
      </x:c>
      <x:c r="J6" s="36" t="str">
        <x:v>α complete N</x:v>
      </x:c>
      <x:c r="K6" s="37" t="str">
        <x:v>Reliability note</x:v>
      </x:c>
      <x:c r="M6" s="64" t="str">
        <x:v>Questionnaire respondents</x:v>
      </x:c>
      <x:c r="N6" s="64" t="str">
        <x:v>19 of 19</x:v>
      </x:c>
      <x:c r="O6" s="64"/>
      <x:c r="P6" s="64"/>
      <x:c r="Q6" s="64"/>
    </x:row>
    <x:row r="7" ht="28" customHeight="1">
      <x:c r="A7" s="43" t="str">
        <x:v>Competence</x:v>
      </x:c>
      <x:c r="B7" s="43" t="str">
        <x:v>2, 10, 15, 17, 21</x:v>
      </x:c>
      <x:c r="C7" s="43" t="n">
        <x:v>19</x:v>
      </x:c>
      <x:c r="D7" s="45" t="n">
        <x:v>2.336842105263158</x:v>
      </x:c>
      <x:c r="E7" s="45" t="n">
        <x:v>1.058411034583755</x:v>
      </x:c>
      <x:c r="F7" s="45" t="n">
        <x:v>2.6</x:v>
      </x:c>
      <x:c r="G7" s="45" t="n">
        <x:v>0.19999999999999996</x:v>
      </x:c>
      <x:c r="H7" s="45" t="n">
        <x:v>3.8</x:v>
      </x:c>
      <x:c r="I7" s="45" t="n">
        <x:v>0.9263416162038005</x:v>
      </x:c>
      <x:c r="J7" s="47" t="n">
        <x:v>19</x:v>
      </x:c>
      <x:c r="K7" s="43" t="str">
        <x:v>Excellent</x:v>
      </x:c>
      <x:c r="M7" s="65" t="str">
        <x:v>Individual GEQ scores</x:v>
      </x:c>
      <x:c r="N7" s="65" t="str">
        <x:v>Rows 17–35 and A6:B12 of every participant sheet</x:v>
      </x:c>
      <x:c r="O7" s="65"/>
      <x:c r="P7" s="65"/>
      <x:c r="Q7" s="65"/>
    </x:row>
    <x:row r="8" ht="28" customHeight="1">
      <x:c r="A8" s="44" t="str">
        <x:v>Sensory &amp; imaginative immersion</x:v>
      </x:c>
      <x:c r="B8" s="44" t="str">
        <x:v>3, 12, 18, 19, 27, 30</x:v>
      </x:c>
      <x:c r="C8" s="44" t="n">
        <x:v>19</x:v>
      </x:c>
      <x:c r="D8" s="46" t="n">
        <x:v>2.7456140350877196</x:v>
      </x:c>
      <x:c r="E8" s="46" t="n">
        <x:v>0.5889109562234124</x:v>
      </x:c>
      <x:c r="F8" s="46" t="n">
        <x:v>2.8333333333333335</x:v>
      </x:c>
      <x:c r="G8" s="46" t="n">
        <x:v>1.8333333333333335</x:v>
      </x:c>
      <x:c r="H8" s="46" t="n">
        <x:v>3.833333333333333</x:v>
      </x:c>
      <x:c r="I8" s="46" t="n">
        <x:v>0.7070725995316157</x:v>
      </x:c>
      <x:c r="J8" s="48" t="n">
        <x:v>19</x:v>
      </x:c>
      <x:c r="K8" s="44" t="str">
        <x:v>Acceptable</x:v>
      </x:c>
      <x:c r="M8" s="65" t="str">
        <x:v>Age source</x:v>
      </x:c>
      <x:c r="N8" s="65" t="str">
        <x:v>AS / B102_01 in the supplied source workbook</x:v>
      </x:c>
      <x:c r="O8" s="65"/>
      <x:c r="P8" s="65"/>
      <x:c r="Q8" s="65"/>
    </x:row>
    <x:row r="9" ht="28" customHeight="1">
      <x:c r="A9" s="44" t="str">
        <x:v>Flow</x:v>
      </x:c>
      <x:c r="B9" s="44" t="str">
        <x:v>5, 13, 25, 28, 31</x:v>
      </x:c>
      <x:c r="C9" s="44" t="n">
        <x:v>19</x:v>
      </x:c>
      <x:c r="D9" s="46" t="n">
        <x:v>2.4736842105263164</x:v>
      </x:c>
      <x:c r="E9" s="46" t="n">
        <x:v>0.763647755668045</x:v>
      </x:c>
      <x:c r="F9" s="46" t="n">
        <x:v>2.4</x:v>
      </x:c>
      <x:c r="G9" s="46" t="n">
        <x:v>1.2000000000000002</x:v>
      </x:c>
      <x:c r="H9" s="46" t="n">
        <x:v>3.8</x:v>
      </x:c>
      <x:c r="I9" s="46" t="n">
        <x:v>0.7846971520256716</x:v>
      </x:c>
      <x:c r="J9" s="48" t="n">
        <x:v>19</x:v>
      </x:c>
      <x:c r="K9" s="44" t="str">
        <x:v>Acceptable</x:v>
      </x:c>
      <x:c r="M9" s="65" t="str">
        <x:v>Missing age</x:v>
      </x:c>
      <x:c r="N9" s="65" t="str">
        <x:v>Participant 15 is blank in source AS; shown as not provided, not imputed</x:v>
      </x:c>
      <x:c r="O9" s="65"/>
      <x:c r="P9" s="65"/>
      <x:c r="Q9" s="65"/>
    </x:row>
    <x:row r="10" ht="28" customHeight="1">
      <x:c r="A10" s="44" t="str">
        <x:v>Tension / annoyance</x:v>
      </x:c>
      <x:c r="B10" s="44" t="str">
        <x:v>22, 24, 29</x:v>
      </x:c>
      <x:c r="C10" s="44" t="n">
        <x:v>19</x:v>
      </x:c>
      <x:c r="D10" s="46" t="n">
        <x:v>0.6842105263157894</x:v>
      </x:c>
      <x:c r="E10" s="46" t="n">
        <x:v>0.680175033850232</x:v>
      </x:c>
      <x:c r="F10" s="46" t="n">
        <x:v>0.6666666666666667</x:v>
      </x:c>
      <x:c r="G10" s="46" t="n">
        <x:v>0</x:v>
      </x:c>
      <x:c r="H10" s="46" t="n">
        <x:v>2</x:v>
      </x:c>
      <x:c r="I10" s="46" t="n">
        <x:v>0.7078651685393258</x:v>
      </x:c>
      <x:c r="J10" s="48" t="n">
        <x:v>19</x:v>
      </x:c>
      <x:c r="K10" s="44" t="str">
        <x:v>Acceptable</x:v>
      </x:c>
      <x:c r="M10" s="65" t="str">
        <x:v>Formula lineage</x:v>
      </x:c>
      <x:c r="N10" s="65" t="str">
        <x:v>GEQ_33 scores are formula-linked to unaltered inputs on GEQ_Raw</x:v>
      </x:c>
      <x:c r="O10" s="65"/>
      <x:c r="P10" s="65"/>
      <x:c r="Q10" s="65"/>
    </x:row>
    <x:row r="11">
      <x:c r="A11" s="44" t="str">
        <x:v>Challenge</x:v>
      </x:c>
      <x:c r="B11" s="44" t="str">
        <x:v>11, 23, 26, 32, 33</x:v>
      </x:c>
      <x:c r="C11" s="44" t="n">
        <x:v>19</x:v>
      </x:c>
      <x:c r="D11" s="46" t="n">
        <x:v>1.8526315789473686</x:v>
      </x:c>
      <x:c r="E11" s="46" t="n">
        <x:v>0.6594344555523245</x:v>
      </x:c>
      <x:c r="F11" s="46" t="n">
        <x:v>1.7999999999999998</x:v>
      </x:c>
      <x:c r="G11" s="46" t="n">
        <x:v>0.3999999999999999</x:v>
      </x:c>
      <x:c r="H11" s="46" t="n">
        <x:v>3.4000000000000004</x:v>
      </x:c>
      <x:c r="I11" s="46" t="n">
        <x:v>0.48413125336202245</x:v>
      </x:c>
      <x:c r="J11" s="48" t="n">
        <x:v>19</x:v>
      </x:c>
      <x:c r="K11" s="44" t="str">
        <x:v>Low</x:v>
      </x:c>
    </x:row>
    <x:row r="12">
      <x:c r="A12" s="44" t="str">
        <x:v>Negative affect</x:v>
      </x:c>
      <x:c r="B12" s="44" t="str">
        <x:v>7, 8, 9, 16</x:v>
      </x:c>
      <x:c r="C12" s="44" t="n">
        <x:v>19</x:v>
      </x:c>
      <x:c r="D12" s="46" t="n">
        <x:v>0.47368421052631576</x:v>
      </x:c>
      <x:c r="E12" s="46" t="n">
        <x:v>0.6815766894676863</x:v>
      </x:c>
      <x:c r="F12" s="46" t="n">
        <x:v>0</x:v>
      </x:c>
      <x:c r="G12" s="46" t="n">
        <x:v>0</x:v>
      </x:c>
      <x:c r="H12" s="46" t="n">
        <x:v>2.25</x:v>
      </x:c>
      <x:c r="I12" s="46" t="n">
        <x:v>0.8245476003147127</x:v>
      </x:c>
      <x:c r="J12" s="48" t="n">
        <x:v>19</x:v>
      </x:c>
      <x:c r="K12" s="44" t="str">
        <x:v>Good</x:v>
      </x:c>
    </x:row>
    <x:row r="13">
      <x:c r="A13" s="44" t="str">
        <x:v>Positive affect</x:v>
      </x:c>
      <x:c r="B13" s="44" t="str">
        <x:v>1, 4, 6, 14, 20</x:v>
      </x:c>
      <x:c r="C13" s="44" t="n">
        <x:v>19</x:v>
      </x:c>
      <x:c r="D13" s="46" t="n">
        <x:v>2.905263157894737</x:v>
      </x:c>
      <x:c r="E13" s="46" t="n">
        <x:v>0.6778017443754202</x:v>
      </x:c>
      <x:c r="F13" s="46" t="n">
        <x:v>3</x:v>
      </x:c>
      <x:c r="G13" s="46" t="n">
        <x:v>1.2000000000000002</x:v>
      </x:c>
      <x:c r="H13" s="46" t="n">
        <x:v>4</x:v>
      </x:c>
      <x:c r="I13" s="46" t="n">
        <x:v>0.8929480651731161</x:v>
      </x:c>
      <x:c r="J13" s="48" t="n">
        <x:v>19</x:v>
      </x:c>
      <x:c r="K13" s="44" t="str">
        <x:v>Good</x:v>
      </x:c>
    </x:row>
    <x:row r="14" ht="32" customHeight="1">
      <x:c r="A14" s="56" t="str">
        <x:v>Reading guide: SD = standard deviation, describing how spread out participant scores are around the mean; larger SD indicates more varied responses. Median = the middle score after sorting and is less influenced by unusually high or low values.</x:v>
      </x:c>
      <x:c r="B14" s="57"/>
      <x:c r="C14" s="57"/>
      <x:c r="D14" s="57"/>
      <x:c r="E14" s="57"/>
      <x:c r="F14" s="57"/>
      <x:c r="G14" s="57"/>
      <x:c r="H14" s="57"/>
      <x:c r="I14" s="57"/>
      <x:c r="J14" s="57"/>
      <x:c r="K14" s="58"/>
    </x:row>
    <x:row r="15" ht="22" customHeight="1">
      <x:c r="A15" s="24" t="str">
        <x:v>Participant component scores (formula-driven from raw item matrix)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6"/>
    </x:row>
    <x:row r="16">
      <x:c r="A16" s="35" t="str">
        <x:v>Participant</x:v>
      </x:c>
      <x:c r="B16" s="36" t="str">
        <x:v>Missing %</x:v>
      </x:c>
      <x:c r="C16" s="36" t="str">
        <x:v>Competence</x:v>
      </x:c>
      <x:c r="D16" s="36" t="str">
        <x:v>Immersion</x:v>
      </x:c>
      <x:c r="E16" s="36" t="str">
        <x:v>Flow</x:v>
      </x:c>
      <x:c r="F16" s="36" t="str">
        <x:v>Tension</x:v>
      </x:c>
      <x:c r="G16" s="36" t="str">
        <x:v>Challenge</x:v>
      </x:c>
      <x:c r="H16" s="36" t="str">
        <x:v>Negative</x:v>
      </x:c>
      <x:c r="I16" s="37" t="str">
        <x:v>Positive</x:v>
      </x:c>
    </x:row>
    <x:row r="17">
      <x:c r="A17" s="43" t="str">
        <x:v>P01 — song</x:v>
      </x:c>
      <x:c r="B17" s="47" t="n">
        <x:v>8</x:v>
      </x:c>
      <x:c r="C17" s="45" t="n">
        <x:f>AVERAGE('GEQ_Raw'!D5,'GEQ_Raw'!L5,'GEQ_Raw'!Q5,'GEQ_Raw'!S5,'GEQ_Raw'!W5)-1</x:f>
        <x:v>2</x:v>
      </x:c>
      <x:c r="D17" s="45" t="n">
        <x:f>AVERAGE('GEQ_Raw'!E5,'GEQ_Raw'!N5,'GEQ_Raw'!T5,'GEQ_Raw'!U5,'GEQ_Raw'!AC5,'GEQ_Raw'!AF5)-1</x:f>
        <x:v>2</x:v>
      </x:c>
      <x:c r="E17" s="45" t="n">
        <x:f>AVERAGE('GEQ_Raw'!G5,'GEQ_Raw'!O5,'GEQ_Raw'!AA5,'GEQ_Raw'!AD5,'GEQ_Raw'!AG5)-1</x:f>
        <x:v>2</x:v>
      </x:c>
      <x:c r="F17" s="45" t="n">
        <x:f>AVERAGE('GEQ_Raw'!X5,'GEQ_Raw'!Z5,'GEQ_Raw'!AE5)-1</x:f>
        <x:v>2</x:v>
      </x:c>
      <x:c r="G17" s="45" t="n">
        <x:f>AVERAGE('GEQ_Raw'!M5,'GEQ_Raw'!Y5,'GEQ_Raw'!AB5,'GEQ_Raw'!AH5,'GEQ_Raw'!AI5)-1</x:f>
        <x:v>2</x:v>
      </x:c>
      <x:c r="H17" s="45" t="n">
        <x:f>AVERAGE('GEQ_Raw'!I5,'GEQ_Raw'!J5,'GEQ_Raw'!K5,'GEQ_Raw'!R5)-1</x:f>
        <x:v>2</x:v>
      </x:c>
      <x:c r="I17" s="45" t="n">
        <x:f>AVERAGE('GEQ_Raw'!C5,'GEQ_Raw'!F5,'GEQ_Raw'!H5,'GEQ_Raw'!P5,'GEQ_Raw'!V5)-1</x:f>
        <x:v>2</x:v>
      </x:c>
    </x:row>
    <x:row r="18">
      <x:c r="A18" s="44" t="str">
        <x:v>P02 — diane</x:v>
      </x:c>
      <x:c r="B18" s="48" t="n">
        <x:v>0</x:v>
      </x:c>
      <x:c r="C18" s="46" t="n">
        <x:f>AVERAGE('GEQ_Raw'!D6,'GEQ_Raw'!L6,'GEQ_Raw'!Q6,'GEQ_Raw'!S6,'GEQ_Raw'!W6)-1</x:f>
        <x:v>1.7999999999999998</x:v>
      </x:c>
      <x:c r="D18" s="46" t="n">
        <x:f>AVERAGE('GEQ_Raw'!E6,'GEQ_Raw'!N6,'GEQ_Raw'!T6,'GEQ_Raw'!U6,'GEQ_Raw'!AC6,'GEQ_Raw'!AF6)-1</x:f>
        <x:v>2.8333333333333335</x:v>
      </x:c>
      <x:c r="E18" s="46" t="n">
        <x:f>AVERAGE('GEQ_Raw'!G6,'GEQ_Raw'!O6,'GEQ_Raw'!AA6,'GEQ_Raw'!AD6,'GEQ_Raw'!AG6)-1</x:f>
        <x:v>3.5999999999999996</x:v>
      </x:c>
      <x:c r="F18" s="46" t="n">
        <x:f>AVERAGE('GEQ_Raw'!X6,'GEQ_Raw'!Z6,'GEQ_Raw'!AE6)-1</x:f>
        <x:v>1.3333333333333335</x:v>
      </x:c>
      <x:c r="G18" s="46" t="n">
        <x:f>AVERAGE('GEQ_Raw'!M6,'GEQ_Raw'!Y6,'GEQ_Raw'!AB6,'GEQ_Raw'!AH6,'GEQ_Raw'!AI6)-1</x:f>
        <x:v>3.4000000000000004</x:v>
      </x:c>
      <x:c r="H18" s="46" t="n">
        <x:f>AVERAGE('GEQ_Raw'!I6,'GEQ_Raw'!J6,'GEQ_Raw'!K6,'GEQ_Raw'!R6)-1</x:f>
        <x:v>0</x:v>
      </x:c>
      <x:c r="I18" s="46" t="n">
        <x:f>AVERAGE('GEQ_Raw'!C6,'GEQ_Raw'!F6,'GEQ_Raw'!H6,'GEQ_Raw'!P6,'GEQ_Raw'!V6)-1</x:f>
        <x:v>2.8</x:v>
      </x:c>
    </x:row>
    <x:row r="19">
      <x:c r="A19" s="44" t="str">
        <x:v>P03 — Andy</x:v>
      </x:c>
      <x:c r="B19" s="48" t="n">
        <x:v>0</x:v>
      </x:c>
      <x:c r="C19" s="46" t="n">
        <x:f>AVERAGE('GEQ_Raw'!D7,'GEQ_Raw'!L7,'GEQ_Raw'!Q7,'GEQ_Raw'!S7,'GEQ_Raw'!W7)-1</x:f>
        <x:v>3.2</x:v>
      </x:c>
      <x:c r="D19" s="46" t="n">
        <x:f>AVERAGE('GEQ_Raw'!E7,'GEQ_Raw'!N7,'GEQ_Raw'!T7,'GEQ_Raw'!U7,'GEQ_Raw'!AC7,'GEQ_Raw'!AF7)-1</x:f>
        <x:v>3.833333333333333</x:v>
      </x:c>
      <x:c r="E19" s="46" t="n">
        <x:f>AVERAGE('GEQ_Raw'!G7,'GEQ_Raw'!O7,'GEQ_Raw'!AA7,'GEQ_Raw'!AD7,'GEQ_Raw'!AG7)-1</x:f>
        <x:v>3.4000000000000004</x:v>
      </x:c>
      <x:c r="F19" s="46" t="n">
        <x:f>AVERAGE('GEQ_Raw'!X7,'GEQ_Raw'!Z7,'GEQ_Raw'!AE7)-1</x:f>
        <x:v>0</x:v>
      </x:c>
      <x:c r="G19" s="46" t="n">
        <x:f>AVERAGE('GEQ_Raw'!M7,'GEQ_Raw'!Y7,'GEQ_Raw'!AB7,'GEQ_Raw'!AH7,'GEQ_Raw'!AI7)-1</x:f>
        <x:v>1.7999999999999998</x:v>
      </x:c>
      <x:c r="H19" s="46" t="n">
        <x:f>AVERAGE('GEQ_Raw'!I7,'GEQ_Raw'!J7,'GEQ_Raw'!K7,'GEQ_Raw'!R7)-1</x:f>
        <x:v>0</x:v>
      </x:c>
      <x:c r="I19" s="46" t="n">
        <x:f>AVERAGE('GEQ_Raw'!C7,'GEQ_Raw'!F7,'GEQ_Raw'!H7,'GEQ_Raw'!P7,'GEQ_Raw'!V7)-1</x:f>
        <x:v>3.8</x:v>
      </x:c>
    </x:row>
    <x:row r="20">
      <x:c r="A20" s="44" t="str">
        <x:v>P04 — Madan</x:v>
      </x:c>
      <x:c r="B20" s="48" t="n">
        <x:v>0</x:v>
      </x:c>
      <x:c r="C20" s="46" t="n">
        <x:f>AVERAGE('GEQ_Raw'!D8,'GEQ_Raw'!L8,'GEQ_Raw'!Q8,'GEQ_Raw'!S8,'GEQ_Raw'!W8)-1</x:f>
        <x:v>2.8</x:v>
      </x:c>
      <x:c r="D20" s="46" t="n">
        <x:f>AVERAGE('GEQ_Raw'!E8,'GEQ_Raw'!N8,'GEQ_Raw'!T8,'GEQ_Raw'!U8,'GEQ_Raw'!AC8,'GEQ_Raw'!AF8)-1</x:f>
        <x:v>2.3333333333333335</x:v>
      </x:c>
      <x:c r="E20" s="46" t="n">
        <x:f>AVERAGE('GEQ_Raw'!G8,'GEQ_Raw'!O8,'GEQ_Raw'!AA8,'GEQ_Raw'!AD8,'GEQ_Raw'!AG8)-1</x:f>
        <x:v>3.2</x:v>
      </x:c>
      <x:c r="F20" s="46" t="n">
        <x:f>AVERAGE('GEQ_Raw'!X8,'GEQ_Raw'!Z8,'GEQ_Raw'!AE8)-1</x:f>
        <x:v>0</x:v>
      </x:c>
      <x:c r="G20" s="46" t="n">
        <x:f>AVERAGE('GEQ_Raw'!M8,'GEQ_Raw'!Y8,'GEQ_Raw'!AB8,'GEQ_Raw'!AH8,'GEQ_Raw'!AI8)-1</x:f>
        <x:v>1.7999999999999998</x:v>
      </x:c>
      <x:c r="H20" s="46" t="n">
        <x:f>AVERAGE('GEQ_Raw'!I8,'GEQ_Raw'!J8,'GEQ_Raw'!K8,'GEQ_Raw'!R8)-1</x:f>
        <x:v>0</x:v>
      </x:c>
      <x:c r="I20" s="46" t="n">
        <x:f>AVERAGE('GEQ_Raw'!C8,'GEQ_Raw'!F8,'GEQ_Raw'!H8,'GEQ_Raw'!P8,'GEQ_Raw'!V8)-1</x:f>
        <x:v>2.8</x:v>
      </x:c>
    </x:row>
    <x:row r="21">
      <x:c r="A21" s="44" t="str">
        <x:v>P05 — Octavio</x:v>
      </x:c>
      <x:c r="B21" s="48" t="n">
        <x:v>0</x:v>
      </x:c>
      <x:c r="C21" s="46" t="n">
        <x:f>AVERAGE('GEQ_Raw'!D9,'GEQ_Raw'!L9,'GEQ_Raw'!Q9,'GEQ_Raw'!S9,'GEQ_Raw'!W9)-1</x:f>
        <x:v>3.4000000000000004</x:v>
      </x:c>
      <x:c r="D21" s="46" t="n">
        <x:f>AVERAGE('GEQ_Raw'!E9,'GEQ_Raw'!N9,'GEQ_Raw'!T9,'GEQ_Raw'!U9,'GEQ_Raw'!AC9,'GEQ_Raw'!AF9)-1</x:f>
        <x:v>3.166666666666667</x:v>
      </x:c>
      <x:c r="E21" s="46" t="n">
        <x:f>AVERAGE('GEQ_Raw'!G9,'GEQ_Raw'!O9,'GEQ_Raw'!AA9,'GEQ_Raw'!AD9,'GEQ_Raw'!AG9)-1</x:f>
        <x:v>3</x:v>
      </x:c>
      <x:c r="F21" s="46" t="n">
        <x:f>AVERAGE('GEQ_Raw'!X9,'GEQ_Raw'!Z9,'GEQ_Raw'!AE9)-1</x:f>
        <x:v>0</x:v>
      </x:c>
      <x:c r="G21" s="46" t="n">
        <x:f>AVERAGE('GEQ_Raw'!M9,'GEQ_Raw'!Y9,'GEQ_Raw'!AB9,'GEQ_Raw'!AH9,'GEQ_Raw'!AI9)-1</x:f>
        <x:v>1.6</x:v>
      </x:c>
      <x:c r="H21" s="46" t="n">
        <x:f>AVERAGE('GEQ_Raw'!I9,'GEQ_Raw'!J9,'GEQ_Raw'!K9,'GEQ_Raw'!R9)-1</x:f>
        <x:v>0.5</x:v>
      </x:c>
      <x:c r="I21" s="46" t="n">
        <x:f>AVERAGE('GEQ_Raw'!C9,'GEQ_Raw'!F9,'GEQ_Raw'!H9,'GEQ_Raw'!P9,'GEQ_Raw'!V9)-1</x:f>
        <x:v>3.8</x:v>
      </x:c>
    </x:row>
    <x:row r="22">
      <x:c r="A22" s="44" t="str">
        <x:v>P06 — heeyun</x:v>
      </x:c>
      <x:c r="B22" s="48" t="n">
        <x:v>6</x:v>
      </x:c>
      <x:c r="C22" s="46" t="n">
        <x:f>AVERAGE('GEQ_Raw'!D10,'GEQ_Raw'!L10,'GEQ_Raw'!Q10,'GEQ_Raw'!S10,'GEQ_Raw'!W10)-1</x:f>
        <x:v>0.3999999999999999</x:v>
      </x:c>
      <x:c r="D22" s="46" t="n">
        <x:f>AVERAGE('GEQ_Raw'!E10,'GEQ_Raw'!N10,'GEQ_Raw'!T10,'GEQ_Raw'!U10,'GEQ_Raw'!AC10,'GEQ_Raw'!AF10)-1</x:f>
        <x:v>2.5</x:v>
      </x:c>
      <x:c r="E22" s="46" t="n">
        <x:f>AVERAGE('GEQ_Raw'!G10,'GEQ_Raw'!O10,'GEQ_Raw'!AA10,'GEQ_Raw'!AD10,'GEQ_Raw'!AG10)-1</x:f>
        <x:v>1.2000000000000002</x:v>
      </x:c>
      <x:c r="F22" s="46" t="n">
        <x:f>AVERAGE('GEQ_Raw'!X10,'GEQ_Raw'!Z10,'GEQ_Raw'!AE10)-1</x:f>
        <x:v>2</x:v>
      </x:c>
      <x:c r="G22" s="46" t="n">
        <x:f>AVERAGE('GEQ_Raw'!M10,'GEQ_Raw'!Y10,'GEQ_Raw'!AB10,'GEQ_Raw'!AH10,'GEQ_Raw'!AI10)-1</x:f>
        <x:v>1.7999999999999998</x:v>
      </x:c>
      <x:c r="H22" s="46" t="n">
        <x:f>AVERAGE('GEQ_Raw'!I10,'GEQ_Raw'!J10,'GEQ_Raw'!K10,'GEQ_Raw'!R10)-1</x:f>
        <x:v>0</x:v>
      </x:c>
      <x:c r="I22" s="46" t="n">
        <x:f>AVERAGE('GEQ_Raw'!C10,'GEQ_Raw'!F10,'GEQ_Raw'!H10,'GEQ_Raw'!P10,'GEQ_Raw'!V10)-1</x:f>
        <x:v>2.4</x:v>
      </x:c>
    </x:row>
    <x:row r="23">
      <x:c r="A23" s="44" t="str">
        <x:v>P07 — yan</x:v>
      </x:c>
      <x:c r="B23" s="48" t="n">
        <x:v>0</x:v>
      </x:c>
      <x:c r="C23" s="46" t="n">
        <x:f>AVERAGE('GEQ_Raw'!D11,'GEQ_Raw'!L11,'GEQ_Raw'!Q11,'GEQ_Raw'!S11,'GEQ_Raw'!W11)-1</x:f>
        <x:v>1.6</x:v>
      </x:c>
      <x:c r="D23" s="46" t="n">
        <x:f>AVERAGE('GEQ_Raw'!E11,'GEQ_Raw'!N11,'GEQ_Raw'!T11,'GEQ_Raw'!U11,'GEQ_Raw'!AC11,'GEQ_Raw'!AF11)-1</x:f>
        <x:v>2.3333333333333335</x:v>
      </x:c>
      <x:c r="E23" s="46" t="n">
        <x:f>AVERAGE('GEQ_Raw'!G11,'GEQ_Raw'!O11,'GEQ_Raw'!AA11,'GEQ_Raw'!AD11,'GEQ_Raw'!AG11)-1</x:f>
        <x:v>2.2</x:v>
      </x:c>
      <x:c r="F23" s="46" t="n">
        <x:f>AVERAGE('GEQ_Raw'!X11,'GEQ_Raw'!Z11,'GEQ_Raw'!AE11)-1</x:f>
        <x:v>0</x:v>
      </x:c>
      <x:c r="G23" s="46" t="n">
        <x:f>AVERAGE('GEQ_Raw'!M11,'GEQ_Raw'!Y11,'GEQ_Raw'!AB11,'GEQ_Raw'!AH11,'GEQ_Raw'!AI11)-1</x:f>
        <x:v>0.6000000000000001</x:v>
      </x:c>
      <x:c r="H23" s="46" t="n">
        <x:f>AVERAGE('GEQ_Raw'!I11,'GEQ_Raw'!J11,'GEQ_Raw'!K11,'GEQ_Raw'!R11)-1</x:f>
        <x:v>0.75</x:v>
      </x:c>
      <x:c r="I23" s="46" t="n">
        <x:f>AVERAGE('GEQ_Raw'!C11,'GEQ_Raw'!F11,'GEQ_Raw'!H11,'GEQ_Raw'!P11,'GEQ_Raw'!V11)-1</x:f>
        <x:v>3</x:v>
      </x:c>
    </x:row>
    <x:row r="24">
      <x:c r="A24" s="44" t="str">
        <x:v>P08 — Dragon</x:v>
      </x:c>
      <x:c r="B24" s="48" t="n">
        <x:v>4</x:v>
      </x:c>
      <x:c r="C24" s="46" t="n">
        <x:f>AVERAGE('GEQ_Raw'!D12,'GEQ_Raw'!L12,'GEQ_Raw'!Q12,'GEQ_Raw'!S12,'GEQ_Raw'!W12)-1</x:f>
        <x:v>3.5999999999999996</x:v>
      </x:c>
      <x:c r="D24" s="46" t="n">
        <x:f>AVERAGE('GEQ_Raw'!E12,'GEQ_Raw'!N12,'GEQ_Raw'!T12,'GEQ_Raw'!U12,'GEQ_Raw'!AC12,'GEQ_Raw'!AF12)-1</x:f>
        <x:v>3.5</x:v>
      </x:c>
      <x:c r="E24" s="46" t="n">
        <x:f>AVERAGE('GEQ_Raw'!G12,'GEQ_Raw'!O12,'GEQ_Raw'!AA12,'GEQ_Raw'!AD12,'GEQ_Raw'!AG12)-1</x:f>
        <x:v>2.2</x:v>
      </x:c>
      <x:c r="F24" s="46" t="n">
        <x:f>AVERAGE('GEQ_Raw'!X12,'GEQ_Raw'!Z12,'GEQ_Raw'!AE12)-1</x:f>
        <x:v>1</x:v>
      </x:c>
      <x:c r="G24" s="46" t="n">
        <x:f>AVERAGE('GEQ_Raw'!M12,'GEQ_Raw'!Y12,'GEQ_Raw'!AB12,'GEQ_Raw'!AH12,'GEQ_Raw'!AI12)-1</x:f>
        <x:v>1.6</x:v>
      </x:c>
      <x:c r="H24" s="46" t="n">
        <x:f>AVERAGE('GEQ_Raw'!I12,'GEQ_Raw'!J12,'GEQ_Raw'!K12,'GEQ_Raw'!R12)-1</x:f>
        <x:v>0.75</x:v>
      </x:c>
      <x:c r="I24" s="46" t="n">
        <x:f>AVERAGE('GEQ_Raw'!C12,'GEQ_Raw'!F12,'GEQ_Raw'!H12,'GEQ_Raw'!P12,'GEQ_Raw'!V12)-1</x:f>
        <x:v>3.8</x:v>
      </x:c>
    </x:row>
    <x:row r="25">
      <x:c r="A25" s="44" t="str">
        <x:v>P09 — Miller</x:v>
      </x:c>
      <x:c r="B25" s="48" t="n">
        <x:v>2</x:v>
      </x:c>
      <x:c r="C25" s="46" t="n">
        <x:f>AVERAGE('GEQ_Raw'!D13,'GEQ_Raw'!L13,'GEQ_Raw'!Q13,'GEQ_Raw'!S13,'GEQ_Raw'!W13)-1</x:f>
        <x:v>3.8</x:v>
      </x:c>
      <x:c r="D25" s="46" t="n">
        <x:f>AVERAGE('GEQ_Raw'!E13,'GEQ_Raw'!N13,'GEQ_Raw'!T13,'GEQ_Raw'!U13,'GEQ_Raw'!AC13,'GEQ_Raw'!AF13)-1</x:f>
        <x:v>3.666666666666667</x:v>
      </x:c>
      <x:c r="E25" s="46" t="n">
        <x:f>AVERAGE('GEQ_Raw'!G13,'GEQ_Raw'!O13,'GEQ_Raw'!AA13,'GEQ_Raw'!AD13,'GEQ_Raw'!AG13)-1</x:f>
        <x:v>3</x:v>
      </x:c>
      <x:c r="F25" s="46" t="n">
        <x:f>AVERAGE('GEQ_Raw'!X13,'GEQ_Raw'!Z13,'GEQ_Raw'!AE13)-1</x:f>
        <x:v>0.33333333333333326</x:v>
      </x:c>
      <x:c r="G25" s="46" t="n">
        <x:f>AVERAGE('GEQ_Raw'!M13,'GEQ_Raw'!Y13,'GEQ_Raw'!AB13,'GEQ_Raw'!AH13,'GEQ_Raw'!AI13)-1</x:f>
        <x:v>2</x:v>
      </x:c>
      <x:c r="H25" s="46" t="n">
        <x:f>AVERAGE('GEQ_Raw'!I13,'GEQ_Raw'!J13,'GEQ_Raw'!K13,'GEQ_Raw'!R13)-1</x:f>
        <x:v>0.25</x:v>
      </x:c>
      <x:c r="I25" s="46" t="n">
        <x:f>AVERAGE('GEQ_Raw'!C13,'GEQ_Raw'!F13,'GEQ_Raw'!H13,'GEQ_Raw'!P13,'GEQ_Raw'!V13)-1</x:f>
        <x:v>4</x:v>
      </x:c>
    </x:row>
    <x:row r="26">
      <x:c r="A26" s="44" t="str">
        <x:v>P10 — Beate</x:v>
      </x:c>
      <x:c r="B26" s="48" t="n">
        <x:v>2</x:v>
      </x:c>
      <x:c r="C26" s="46" t="n">
        <x:f>AVERAGE('GEQ_Raw'!D14,'GEQ_Raw'!L14,'GEQ_Raw'!Q14,'GEQ_Raw'!S14,'GEQ_Raw'!W14)-1</x:f>
        <x:v>2</x:v>
      </x:c>
      <x:c r="D26" s="46" t="n">
        <x:f>AVERAGE('GEQ_Raw'!E14,'GEQ_Raw'!N14,'GEQ_Raw'!T14,'GEQ_Raw'!U14,'GEQ_Raw'!AC14,'GEQ_Raw'!AF14)-1</x:f>
        <x:v>2.5</x:v>
      </x:c>
      <x:c r="E26" s="46" t="n">
        <x:f>AVERAGE('GEQ_Raw'!G14,'GEQ_Raw'!O14,'GEQ_Raw'!AA14,'GEQ_Raw'!AD14,'GEQ_Raw'!AG14)-1</x:f>
        <x:v>2.8</x:v>
      </x:c>
      <x:c r="F26" s="46" t="n">
        <x:f>AVERAGE('GEQ_Raw'!X14,'GEQ_Raw'!Z14,'GEQ_Raw'!AE14)-1</x:f>
        <x:v>0</x:v>
      </x:c>
      <x:c r="G26" s="46" t="n">
        <x:f>AVERAGE('GEQ_Raw'!M14,'GEQ_Raw'!Y14,'GEQ_Raw'!AB14,'GEQ_Raw'!AH14,'GEQ_Raw'!AI14)-1</x:f>
        <x:v>2.2</x:v>
      </x:c>
      <x:c r="H26" s="46" t="n">
        <x:f>AVERAGE('GEQ_Raw'!I14,'GEQ_Raw'!J14,'GEQ_Raw'!K14,'GEQ_Raw'!R14)-1</x:f>
        <x:v>1</x:v>
      </x:c>
      <x:c r="I26" s="46" t="n">
        <x:f>AVERAGE('GEQ_Raw'!C14,'GEQ_Raw'!F14,'GEQ_Raw'!H14,'GEQ_Raw'!P14,'GEQ_Raw'!V14)-1</x:f>
        <x:v>2.8</x:v>
      </x:c>
    </x:row>
    <x:row r="27">
      <x:c r="A27" s="44" t="str">
        <x:v>P11 — Franzi</x:v>
      </x:c>
      <x:c r="B27" s="48" t="n">
        <x:v>6</x:v>
      </x:c>
      <x:c r="C27" s="46" t="n">
        <x:f>AVERAGE('GEQ_Raw'!D15,'GEQ_Raw'!L15,'GEQ_Raw'!Q15,'GEQ_Raw'!S15,'GEQ_Raw'!W15)-1</x:f>
        <x:v>0.19999999999999996</x:v>
      </x:c>
      <x:c r="D27" s="46" t="n">
        <x:f>AVERAGE('GEQ_Raw'!E15,'GEQ_Raw'!N15,'GEQ_Raw'!T15,'GEQ_Raw'!U15,'GEQ_Raw'!AC15,'GEQ_Raw'!AF15)-1</x:f>
        <x:v>2.3333333333333335</x:v>
      </x:c>
      <x:c r="E27" s="46" t="n">
        <x:f>AVERAGE('GEQ_Raw'!G15,'GEQ_Raw'!O15,'GEQ_Raw'!AA15,'GEQ_Raw'!AD15,'GEQ_Raw'!AG15)-1</x:f>
        <x:v>1.6</x:v>
      </x:c>
      <x:c r="F27" s="46" t="n">
        <x:f>AVERAGE('GEQ_Raw'!X15,'GEQ_Raw'!Z15,'GEQ_Raw'!AE15)-1</x:f>
        <x:v>0.33333333333333326</x:v>
      </x:c>
      <x:c r="G27" s="46" t="n">
        <x:f>AVERAGE('GEQ_Raw'!M15,'GEQ_Raw'!Y15,'GEQ_Raw'!AB15,'GEQ_Raw'!AH15,'GEQ_Raw'!AI15)-1</x:f>
        <x:v>2</x:v>
      </x:c>
      <x:c r="H27" s="46" t="n">
        <x:f>AVERAGE('GEQ_Raw'!I15,'GEQ_Raw'!J15,'GEQ_Raw'!K15,'GEQ_Raw'!R15)-1</x:f>
        <x:v>0</x:v>
      </x:c>
      <x:c r="I27" s="46" t="n">
        <x:f>AVERAGE('GEQ_Raw'!C15,'GEQ_Raw'!F15,'GEQ_Raw'!H15,'GEQ_Raw'!P15,'GEQ_Raw'!V15)-1</x:f>
        <x:v>2.4</x:v>
      </x:c>
    </x:row>
    <x:row r="28">
      <x:c r="A28" s="44" t="str">
        <x:v>P12 — Cindy</x:v>
      </x:c>
      <x:c r="B28" s="48" t="n">
        <x:v>2</x:v>
      </x:c>
      <x:c r="C28" s="46" t="n">
        <x:f>AVERAGE('GEQ_Raw'!D16,'GEQ_Raw'!L16,'GEQ_Raw'!Q16,'GEQ_Raw'!S16,'GEQ_Raw'!W16)-1</x:f>
        <x:v>3</x:v>
      </x:c>
      <x:c r="D28" s="46" t="n">
        <x:f>AVERAGE('GEQ_Raw'!E16,'GEQ_Raw'!N16,'GEQ_Raw'!T16,'GEQ_Raw'!U16,'GEQ_Raw'!AC16,'GEQ_Raw'!AF16)-1</x:f>
        <x:v>3</x:v>
      </x:c>
      <x:c r="E28" s="46" t="n">
        <x:f>AVERAGE('GEQ_Raw'!G16,'GEQ_Raw'!O16,'GEQ_Raw'!AA16,'GEQ_Raw'!AD16,'GEQ_Raw'!AG16)-1</x:f>
        <x:v>2.4</x:v>
      </x:c>
      <x:c r="F28" s="46" t="n">
        <x:f>AVERAGE('GEQ_Raw'!X16,'GEQ_Raw'!Z16,'GEQ_Raw'!AE16)-1</x:f>
        <x:v>0.6666666666666667</x:v>
      </x:c>
      <x:c r="G28" s="46" t="n">
        <x:f>AVERAGE('GEQ_Raw'!M16,'GEQ_Raw'!Y16,'GEQ_Raw'!AB16,'GEQ_Raw'!AH16,'GEQ_Raw'!AI16)-1</x:f>
        <x:v>1.7999999999999998</x:v>
      </x:c>
      <x:c r="H28" s="46" t="n">
        <x:f>AVERAGE('GEQ_Raw'!I16,'GEQ_Raw'!J16,'GEQ_Raw'!K16,'GEQ_Raw'!R16)-1</x:f>
        <x:v>0.75</x:v>
      </x:c>
      <x:c r="I28" s="46" t="n">
        <x:f>AVERAGE('GEQ_Raw'!C16,'GEQ_Raw'!F16,'GEQ_Raw'!H16,'GEQ_Raw'!P16,'GEQ_Raw'!V16)-1</x:f>
        <x:v>3</x:v>
      </x:c>
    </x:row>
    <x:row r="29">
      <x:c r="A29" s="44" t="str">
        <x:v>P13 — Hanna</x:v>
      </x:c>
      <x:c r="B29" s="48" t="n">
        <x:v>2</x:v>
      </x:c>
      <x:c r="C29" s="46" t="n">
        <x:f>AVERAGE('GEQ_Raw'!D17,'GEQ_Raw'!L17,'GEQ_Raw'!Q17,'GEQ_Raw'!S17,'GEQ_Raw'!W17)-1</x:f>
        <x:v>3</x:v>
      </x:c>
      <x:c r="D29" s="46" t="n">
        <x:f>AVERAGE('GEQ_Raw'!E17,'GEQ_Raw'!N17,'GEQ_Raw'!T17,'GEQ_Raw'!U17,'GEQ_Raw'!AC17,'GEQ_Raw'!AF17)-1</x:f>
        <x:v>3</x:v>
      </x:c>
      <x:c r="E29" s="46" t="n">
        <x:f>AVERAGE('GEQ_Raw'!G17,'GEQ_Raw'!O17,'GEQ_Raw'!AA17,'GEQ_Raw'!AD17,'GEQ_Raw'!AG17)-1</x:f>
        <x:v>2.8</x:v>
      </x:c>
      <x:c r="F29" s="46" t="n">
        <x:f>AVERAGE('GEQ_Raw'!X17,'GEQ_Raw'!Z17,'GEQ_Raw'!AE17)-1</x:f>
        <x:v>0.33333333333333326</x:v>
      </x:c>
      <x:c r="G29" s="46" t="n">
        <x:f>AVERAGE('GEQ_Raw'!M17,'GEQ_Raw'!Y17,'GEQ_Raw'!AB17,'GEQ_Raw'!AH17,'GEQ_Raw'!AI17)-1</x:f>
        <x:v>1.6</x:v>
      </x:c>
      <x:c r="H29" s="46" t="n">
        <x:f>AVERAGE('GEQ_Raw'!I17,'GEQ_Raw'!J17,'GEQ_Raw'!K17,'GEQ_Raw'!R17)-1</x:f>
        <x:v>0</x:v>
      </x:c>
      <x:c r="I29" s="46" t="n">
        <x:f>AVERAGE('GEQ_Raw'!C17,'GEQ_Raw'!F17,'GEQ_Raw'!H17,'GEQ_Raw'!P17,'GEQ_Raw'!V17)-1</x:f>
        <x:v>3</x:v>
      </x:c>
    </x:row>
    <x:row r="30">
      <x:c r="A30" s="44" t="str">
        <x:v>P14 — Claire</x:v>
      </x:c>
      <x:c r="B30" s="48" t="n">
        <x:v>2</x:v>
      </x:c>
      <x:c r="C30" s="46" t="n">
        <x:f>AVERAGE('GEQ_Raw'!D18,'GEQ_Raw'!L18,'GEQ_Raw'!Q18,'GEQ_Raw'!S18,'GEQ_Raw'!W18)-1</x:f>
        <x:v>3.4000000000000004</x:v>
      </x:c>
      <x:c r="D30" s="46" t="n">
        <x:f>AVERAGE('GEQ_Raw'!E18,'GEQ_Raw'!N18,'GEQ_Raw'!T18,'GEQ_Raw'!U18,'GEQ_Raw'!AC18,'GEQ_Raw'!AF18)-1</x:f>
        <x:v>3.333333333333333</x:v>
      </x:c>
      <x:c r="E30" s="46" t="n">
        <x:f>AVERAGE('GEQ_Raw'!G18,'GEQ_Raw'!O18,'GEQ_Raw'!AA18,'GEQ_Raw'!AD18,'GEQ_Raw'!AG18)-1</x:f>
        <x:v>2.2</x:v>
      </x:c>
      <x:c r="F30" s="46" t="n">
        <x:f>AVERAGE('GEQ_Raw'!X18,'GEQ_Raw'!Z18,'GEQ_Raw'!AE18)-1</x:f>
        <x:v>0.6666666666666667</x:v>
      </x:c>
      <x:c r="G30" s="46" t="n">
        <x:f>AVERAGE('GEQ_Raw'!M18,'GEQ_Raw'!Y18,'GEQ_Raw'!AB18,'GEQ_Raw'!AH18,'GEQ_Raw'!AI18)-1</x:f>
        <x:v>1.6</x:v>
      </x:c>
      <x:c r="H30" s="46" t="n">
        <x:f>AVERAGE('GEQ_Raw'!I18,'GEQ_Raw'!J18,'GEQ_Raw'!K18,'GEQ_Raw'!R18)-1</x:f>
        <x:v>0</x:v>
      </x:c>
      <x:c r="I30" s="46" t="n">
        <x:f>AVERAGE('GEQ_Raw'!C18,'GEQ_Raw'!F18,'GEQ_Raw'!H18,'GEQ_Raw'!P18,'GEQ_Raw'!V18)-1</x:f>
        <x:v>3.2</x:v>
      </x:c>
    </x:row>
    <x:row r="31">
      <x:c r="A31" s="44" t="str">
        <x:v>P15 — Martina</x:v>
      </x:c>
      <x:c r="B31" s="48" t="n">
        <x:v>0</x:v>
      </x:c>
      <x:c r="C31" s="46" t="n">
        <x:f>AVERAGE('GEQ_Raw'!D19,'GEQ_Raw'!L19,'GEQ_Raw'!Q19,'GEQ_Raw'!S19,'GEQ_Raw'!W19)-1</x:f>
        <x:v>2</x:v>
      </x:c>
      <x:c r="D31" s="46" t="n">
        <x:f>AVERAGE('GEQ_Raw'!E19,'GEQ_Raw'!N19,'GEQ_Raw'!T19,'GEQ_Raw'!U19,'GEQ_Raw'!AC19,'GEQ_Raw'!AF19)-1</x:f>
        <x:v>2.1666666666666665</x:v>
      </x:c>
      <x:c r="E31" s="46" t="n">
        <x:f>AVERAGE('GEQ_Raw'!G19,'GEQ_Raw'!O19,'GEQ_Raw'!AA19,'GEQ_Raw'!AD19,'GEQ_Raw'!AG19)-1</x:f>
        <x:v>1.2000000000000002</x:v>
      </x:c>
      <x:c r="F31" s="46" t="n">
        <x:f>AVERAGE('GEQ_Raw'!X19,'GEQ_Raw'!Z19,'GEQ_Raw'!AE19)-1</x:f>
        <x:v>0</x:v>
      </x:c>
      <x:c r="G31" s="46" t="n">
        <x:f>AVERAGE('GEQ_Raw'!M19,'GEQ_Raw'!Y19,'GEQ_Raw'!AB19,'GEQ_Raw'!AH19,'GEQ_Raw'!AI19)-1</x:f>
        <x:v>0.3999999999999999</x:v>
      </x:c>
      <x:c r="H31" s="46" t="n">
        <x:f>AVERAGE('GEQ_Raw'!I19,'GEQ_Raw'!J19,'GEQ_Raw'!K19,'GEQ_Raw'!R19)-1</x:f>
        <x:v>0</x:v>
      </x:c>
      <x:c r="I31" s="46" t="n">
        <x:f>AVERAGE('GEQ_Raw'!C19,'GEQ_Raw'!F19,'GEQ_Raw'!H19,'GEQ_Raw'!P19,'GEQ_Raw'!V19)-1</x:f>
        <x:v>2.8</x:v>
      </x:c>
    </x:row>
    <x:row r="32">
      <x:c r="A32" s="44" t="str">
        <x:v>P16 — SebastianH</x:v>
      </x:c>
      <x:c r="B32" s="48" t="n">
        <x:v>2</x:v>
      </x:c>
      <x:c r="C32" s="46" t="n">
        <x:f>AVERAGE('GEQ_Raw'!D20,'GEQ_Raw'!L20,'GEQ_Raw'!Q20,'GEQ_Raw'!S20,'GEQ_Raw'!W20)-1</x:f>
        <x:v>2.6</x:v>
      </x:c>
      <x:c r="D32" s="46" t="n">
        <x:f>AVERAGE('GEQ_Raw'!E20,'GEQ_Raw'!N20,'GEQ_Raw'!T20,'GEQ_Raw'!U20,'GEQ_Raw'!AC20,'GEQ_Raw'!AF20)-1</x:f>
        <x:v>3</x:v>
      </x:c>
      <x:c r="E32" s="46" t="n">
        <x:f>AVERAGE('GEQ_Raw'!G20,'GEQ_Raw'!O20,'GEQ_Raw'!AA20,'GEQ_Raw'!AD20,'GEQ_Raw'!AG20)-1</x:f>
        <x:v>2.2</x:v>
      </x:c>
      <x:c r="F32" s="46" t="n">
        <x:f>AVERAGE('GEQ_Raw'!X20,'GEQ_Raw'!Z20,'GEQ_Raw'!AE20)-1</x:f>
        <x:v>0.6666666666666667</x:v>
      </x:c>
      <x:c r="G32" s="46" t="n">
        <x:f>AVERAGE('GEQ_Raw'!M20,'GEQ_Raw'!Y20,'GEQ_Raw'!AB20,'GEQ_Raw'!AH20,'GEQ_Raw'!AI20)-1</x:f>
        <x:v>2.6</x:v>
      </x:c>
      <x:c r="H32" s="46" t="n">
        <x:f>AVERAGE('GEQ_Raw'!I20,'GEQ_Raw'!J20,'GEQ_Raw'!K20,'GEQ_Raw'!R20)-1</x:f>
        <x:v>0</x:v>
      </x:c>
      <x:c r="I32" s="46" t="n">
        <x:f>AVERAGE('GEQ_Raw'!C20,'GEQ_Raw'!F20,'GEQ_Raw'!H20,'GEQ_Raw'!P20,'GEQ_Raw'!V20)-1</x:f>
        <x:v>3</x:v>
      </x:c>
    </x:row>
    <x:row r="33">
      <x:c r="A33" s="44" t="str">
        <x:v>P17 — Domi</x:v>
      </x:c>
      <x:c r="B33" s="48" t="n">
        <x:v>2</x:v>
      </x:c>
      <x:c r="C33" s="46" t="n">
        <x:f>AVERAGE('GEQ_Raw'!D21,'GEQ_Raw'!L21,'GEQ_Raw'!Q21,'GEQ_Raw'!S21,'GEQ_Raw'!W21)-1</x:f>
        <x:v>1.6</x:v>
      </x:c>
      <x:c r="D33" s="46" t="n">
        <x:f>AVERAGE('GEQ_Raw'!E21,'GEQ_Raw'!N21,'GEQ_Raw'!T21,'GEQ_Raw'!U21,'GEQ_Raw'!AC21,'GEQ_Raw'!AF21)-1</x:f>
        <x:v>2</x:v>
      </x:c>
      <x:c r="E33" s="46" t="n">
        <x:f>AVERAGE('GEQ_Raw'!G21,'GEQ_Raw'!O21,'GEQ_Raw'!AA21,'GEQ_Raw'!AD21,'GEQ_Raw'!AG21)-1</x:f>
        <x:v>3.8</x:v>
      </x:c>
      <x:c r="F33" s="46" t="n">
        <x:f>AVERAGE('GEQ_Raw'!X21,'GEQ_Raw'!Z21,'GEQ_Raw'!AE21)-1</x:f>
        <x:v>1</x:v>
      </x:c>
      <x:c r="G33" s="46" t="n">
        <x:f>AVERAGE('GEQ_Raw'!M21,'GEQ_Raw'!Y21,'GEQ_Raw'!AB21,'GEQ_Raw'!AH21,'GEQ_Raw'!AI21)-1</x:f>
        <x:v>2.6</x:v>
      </x:c>
      <x:c r="H33" s="46" t="n">
        <x:f>AVERAGE('GEQ_Raw'!I21,'GEQ_Raw'!J21,'GEQ_Raw'!K21,'GEQ_Raw'!R21)-1</x:f>
        <x:v>0</x:v>
      </x:c>
      <x:c r="I33" s="46" t="n">
        <x:f>AVERAGE('GEQ_Raw'!C21,'GEQ_Raw'!F21,'GEQ_Raw'!H21,'GEQ_Raw'!P21,'GEQ_Raw'!V21)-1</x:f>
        <x:v>2.4</x:v>
      </x:c>
    </x:row>
    <x:row r="34">
      <x:c r="A34" s="44" t="str">
        <x:v>P18 — Michael</x:v>
      </x:c>
      <x:c r="B34" s="48" t="n">
        <x:v>4</x:v>
      </x:c>
      <x:c r="C34" s="46" t="n">
        <x:f>AVERAGE('GEQ_Raw'!D22,'GEQ_Raw'!L22,'GEQ_Raw'!Q22,'GEQ_Raw'!S22,'GEQ_Raw'!W22)-1</x:f>
        <x:v>1</x:v>
      </x:c>
      <x:c r="D34" s="46" t="n">
        <x:f>AVERAGE('GEQ_Raw'!E22,'GEQ_Raw'!N22,'GEQ_Raw'!T22,'GEQ_Raw'!U22,'GEQ_Raw'!AC22,'GEQ_Raw'!AF22)-1</x:f>
        <x:v>1.8333333333333335</x:v>
      </x:c>
      <x:c r="E34" s="46" t="n">
        <x:f>AVERAGE('GEQ_Raw'!G22,'GEQ_Raw'!O22,'GEQ_Raw'!AA22,'GEQ_Raw'!AD22,'GEQ_Raw'!AG22)-1</x:f>
        <x:v>1.6</x:v>
      </x:c>
      <x:c r="F34" s="46" t="n">
        <x:f>AVERAGE('GEQ_Raw'!X22,'GEQ_Raw'!Z22,'GEQ_Raw'!AE22)-1</x:f>
        <x:v>1.6666666666666665</x:v>
      </x:c>
      <x:c r="G34" s="46" t="n">
        <x:f>AVERAGE('GEQ_Raw'!M22,'GEQ_Raw'!Y22,'GEQ_Raw'!AB22,'GEQ_Raw'!AH22,'GEQ_Raw'!AI22)-1</x:f>
        <x:v>1.6</x:v>
      </x:c>
      <x:c r="H34" s="46" t="n">
        <x:f>AVERAGE('GEQ_Raw'!I22,'GEQ_Raw'!J22,'GEQ_Raw'!K22,'GEQ_Raw'!R22)-1</x:f>
        <x:v>2.25</x:v>
      </x:c>
      <x:c r="I34" s="46" t="n">
        <x:f>AVERAGE('GEQ_Raw'!C22,'GEQ_Raw'!F22,'GEQ_Raw'!H22,'GEQ_Raw'!P22,'GEQ_Raw'!V22)-1</x:f>
        <x:v>1.2000000000000002</x:v>
      </x:c>
    </x:row>
    <x:row r="35">
      <x:c r="A35" s="44" t="str">
        <x:v>P19 — MarkusK</x:v>
      </x:c>
      <x:c r="B35" s="48" t="n">
        <x:v>2</x:v>
      </x:c>
      <x:c r="C35" s="46" t="n">
        <x:f>AVERAGE('GEQ_Raw'!D23,'GEQ_Raw'!L23,'GEQ_Raw'!Q23,'GEQ_Raw'!S23,'GEQ_Raw'!W23)-1</x:f>
        <x:v>3</x:v>
      </x:c>
      <x:c r="D35" s="46" t="n">
        <x:f>AVERAGE('GEQ_Raw'!E23,'GEQ_Raw'!N23,'GEQ_Raw'!T23,'GEQ_Raw'!U23,'GEQ_Raw'!AC23,'GEQ_Raw'!AF23)-1</x:f>
        <x:v>2.8333333333333335</x:v>
      </x:c>
      <x:c r="E35" s="46" t="n">
        <x:f>AVERAGE('GEQ_Raw'!G23,'GEQ_Raw'!O23,'GEQ_Raw'!AA23,'GEQ_Raw'!AD23,'GEQ_Raw'!AG23)-1</x:f>
        <x:v>2.6</x:v>
      </x:c>
      <x:c r="F35" s="46" t="n">
        <x:f>AVERAGE('GEQ_Raw'!X23,'GEQ_Raw'!Z23,'GEQ_Raw'!AE23)-1</x:f>
        <x:v>1</x:v>
      </x:c>
      <x:c r="G35" s="46" t="n">
        <x:f>AVERAGE('GEQ_Raw'!M23,'GEQ_Raw'!Y23,'GEQ_Raw'!AB23,'GEQ_Raw'!AH23,'GEQ_Raw'!AI23)-1</x:f>
        <x:v>2.2</x:v>
      </x:c>
      <x:c r="H35" s="46" t="n">
        <x:f>AVERAGE('GEQ_Raw'!I23,'GEQ_Raw'!J23,'GEQ_Raw'!K23,'GEQ_Raw'!R23)-1</x:f>
        <x:v>0.75</x:v>
      </x:c>
      <x:c r="I35" s="46" t="n">
        <x:f>AVERAGE('GEQ_Raw'!C23,'GEQ_Raw'!F23,'GEQ_Raw'!H23,'GEQ_Raw'!P23,'GEQ_Raw'!V23)-1</x:f>
        <x:v>3</x:v>
      </x:c>
    </x:row>
    <x:row r="38" ht="22" customHeight="1">
      <x:c r="A38" s="24" t="str">
        <x:v>Item-level descriptives and meaning</x:v>
      </x:c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6"/>
    </x:row>
    <x:row r="39">
      <x:c r="A39" s="35" t="str">
        <x:v>Item</x:v>
      </x:c>
      <x:c r="B39" s="36" t="str">
        <x:v>Variable</x:v>
      </x:c>
      <x:c r="C39" s="36" t="str">
        <x:v>Component</x:v>
      </x:c>
      <x:c r="D39" s="36" t="str">
        <x:v>N = 19</x:v>
      </x:c>
      <x:c r="E39" s="36" t="str">
        <x:v>Mean 1–5</x:v>
      </x:c>
      <x:c r="F39" s="36" t="str">
        <x:v>Mean 0–4</x:v>
      </x:c>
      <x:c r="G39" s="36" t="str">
        <x:v>SD 0–4</x:v>
      </x:c>
      <x:c r="H39" s="36" t="str">
        <x:v>Median 0–4</x:v>
      </x:c>
      <x:c r="I39" s="36" t="str">
        <x:v>Min</x:v>
      </x:c>
      <x:c r="J39" s="36" t="str">
        <x:v>Max</x:v>
      </x:c>
      <x:c r="K39" s="36" t="str">
        <x:v>Scale</x:v>
      </x:c>
      <x:c r="L39" s="36" t="str">
        <x:v>Item meaning / high score indicates</x:v>
      </x:c>
      <x:c r="M39" s="37" t="str">
        <x:v>Question</x:v>
      </x:c>
    </x:row>
    <x:row r="40">
      <x:c r="A40" s="43" t="n">
        <x:v>1</x:v>
      </x:c>
      <x:c r="B40" s="43" t="str">
        <x:v>A001_01</x:v>
      </x:c>
      <x:c r="C40" s="43" t="str">
        <x:v>Positive affect</x:v>
      </x:c>
      <x:c r="D40" s="43" t="n">
        <x:v>19</x:v>
      </x:c>
      <x:c r="E40" s="45" t="n">
        <x:v>3.789473684210526</x:v>
      </x:c>
      <x:c r="F40" s="45" t="n">
        <x:v>2.789473684210526</x:v>
      </x:c>
      <x:c r="G40" s="45" t="n">
        <x:v>0.8549819600709617</x:v>
      </x:c>
      <x:c r="H40" s="45" t="n">
        <x:v>3</x:v>
      </x:c>
      <x:c r="I40" s="45" t="n">
        <x:v>1</x:v>
      </x:c>
      <x:c r="J40" s="45" t="n">
        <x:v>4</x:v>
      </x:c>
      <x:c r="K40" s="43" t="str">
        <x:v>0–4</x:v>
      </x:c>
      <x:c r="L40" s="43" t="str">
        <x:v>Positive affect — contentment</x:v>
      </x:c>
      <x:c r="M40" s="43" t="str">
        <x:v>I felt content.</x:v>
      </x:c>
    </x:row>
    <x:row r="41">
      <x:c r="A41" s="44" t="n">
        <x:v>2</x:v>
      </x:c>
      <x:c r="B41" s="44" t="str">
        <x:v>A001_02</x:v>
      </x:c>
      <x:c r="C41" s="44" t="str">
        <x:v>Competence</x:v>
      </x:c>
      <x:c r="D41" s="44" t="n">
        <x:v>19</x:v>
      </x:c>
      <x:c r="E41" s="46" t="n">
        <x:v>3.4210526315789473</x:v>
      </x:c>
      <x:c r="F41" s="46" t="n">
        <x:v>2.4210526315789473</x:v>
      </x:c>
      <x:c r="G41" s="46" t="n">
        <x:v>1.346426937147361</x:v>
      </x:c>
      <x:c r="H41" s="46" t="n">
        <x:v>3</x:v>
      </x:c>
      <x:c r="I41" s="46" t="n">
        <x:v>0</x:v>
      </x:c>
      <x:c r="J41" s="46" t="n">
        <x:v>4</x:v>
      </x:c>
      <x:c r="K41" s="44" t="str">
        <x:v>0–4</x:v>
      </x:c>
      <x:c r="L41" s="44" t="str">
        <x:v>Competence — perceived skill</x:v>
      </x:c>
      <x:c r="M41" s="44" t="str">
        <x:v>I felt skilful.</x:v>
      </x:c>
    </x:row>
    <x:row r="42">
      <x:c r="A42" s="44" t="n">
        <x:v>3</x:v>
      </x:c>
      <x:c r="B42" s="44" t="str">
        <x:v>A001_03</x:v>
      </x:c>
      <x:c r="C42" s="44" t="str">
        <x:v>Sensory &amp; imaginative immersion</x:v>
      </x:c>
      <x:c r="D42" s="44" t="n">
        <x:v>19</x:v>
      </x:c>
      <x:c r="E42" s="46" t="n">
        <x:v>4.052631578947368</x:v>
      </x:c>
      <x:c r="F42" s="46" t="n">
        <x:v>3.0526315789473686</x:v>
      </x:c>
      <x:c r="G42" s="46" t="n">
        <x:v>0.7798635358208024</x:v>
      </x:c>
      <x:c r="H42" s="46" t="n">
        <x:v>3</x:v>
      </x:c>
      <x:c r="I42" s="46" t="n">
        <x:v>2</x:v>
      </x:c>
      <x:c r="J42" s="46" t="n">
        <x:v>4</x:v>
      </x:c>
      <x:c r="K42" s="44" t="str">
        <x:v>0–4</x:v>
      </x:c>
      <x:c r="L42" s="44" t="str">
        <x:v>Immersion — interest in the story</x:v>
      </x:c>
      <x:c r="M42" s="44" t="str">
        <x:v>I was interested in the game's story.</x:v>
      </x:c>
    </x:row>
    <x:row r="43">
      <x:c r="A43" s="44" t="n">
        <x:v>4</x:v>
      </x:c>
      <x:c r="B43" s="44" t="str">
        <x:v>A001_04</x:v>
      </x:c>
      <x:c r="C43" s="44" t="str">
        <x:v>Positive affect</x:v>
      </x:c>
      <x:c r="D43" s="44" t="n">
        <x:v>19</x:v>
      </x:c>
      <x:c r="E43" s="46" t="n">
        <x:v>4.2105263157894735</x:v>
      </x:c>
      <x:c r="F43" s="46" t="n">
        <x:v>3.210526315789474</x:v>
      </x:c>
      <x:c r="G43" s="46" t="n">
        <x:v>0.6306035352846117</x:v>
      </x:c>
      <x:c r="H43" s="46" t="n">
        <x:v>3</x:v>
      </x:c>
      <x:c r="I43" s="46" t="n">
        <x:v>2</x:v>
      </x:c>
      <x:c r="J43" s="46" t="n">
        <x:v>4</x:v>
      </x:c>
      <x:c r="K43" s="44" t="str">
        <x:v>0–4</x:v>
      </x:c>
      <x:c r="L43" s="44" t="str">
        <x:v>Positive affect — fun</x:v>
      </x:c>
      <x:c r="M43" s="44" t="str">
        <x:v>I thought it was fun.</x:v>
      </x:c>
    </x:row>
    <x:row r="44">
      <x:c r="A44" s="44" t="n">
        <x:v>5</x:v>
      </x:c>
      <x:c r="B44" s="44" t="str">
        <x:v>A001_05</x:v>
      </x:c>
      <x:c r="C44" s="44" t="str">
        <x:v>Flow</x:v>
      </x:c>
      <x:c r="D44" s="44" t="n">
        <x:v>19</x:v>
      </x:c>
      <x:c r="E44" s="46" t="n">
        <x:v>4.2105263157894735</x:v>
      </x:c>
      <x:c r="F44" s="46" t="n">
        <x:v>3.210526315789474</x:v>
      </x:c>
      <x:c r="G44" s="46" t="n">
        <x:v>0.9176629354822471</x:v>
      </x:c>
      <x:c r="H44" s="46" t="n">
        <x:v>3</x:v>
      </x:c>
      <x:c r="I44" s="46" t="n">
        <x:v>1</x:v>
      </x:c>
      <x:c r="J44" s="46" t="n">
        <x:v>4</x:v>
      </x:c>
      <x:c r="K44" s="44" t="str">
        <x:v>0–4</x:v>
      </x:c>
      <x:c r="L44" s="44" t="str">
        <x:v>Flow — full task absorption</x:v>
      </x:c>
      <x:c r="M44" s="44" t="str">
        <x:v>I was fully occupied with the game.</x:v>
      </x:c>
    </x:row>
    <x:row r="45">
      <x:c r="A45" s="44" t="n">
        <x:v>6</x:v>
      </x:c>
      <x:c r="B45" s="44" t="str">
        <x:v>A001_06</x:v>
      </x:c>
      <x:c r="C45" s="44" t="str">
        <x:v>Positive affect</x:v>
      </x:c>
      <x:c r="D45" s="44" t="n">
        <x:v>19</x:v>
      </x:c>
      <x:c r="E45" s="46" t="n">
        <x:v>3.526315789473684</x:v>
      </x:c>
      <x:c r="F45" s="46" t="n">
        <x:v>2.526315789473684</x:v>
      </x:c>
      <x:c r="G45" s="46" t="n">
        <x:v>1.0202625507753482</x:v>
      </x:c>
      <x:c r="H45" s="46" t="n">
        <x:v>3</x:v>
      </x:c>
      <x:c r="I45" s="46" t="n">
        <x:v>0</x:v>
      </x:c>
      <x:c r="J45" s="46" t="n">
        <x:v>4</x:v>
      </x:c>
      <x:c r="K45" s="44" t="str">
        <x:v>0–4</x:v>
      </x:c>
      <x:c r="L45" s="44" t="str">
        <x:v>Positive affect — happiness</x:v>
      </x:c>
      <x:c r="M45" s="44" t="str">
        <x:v>I felt happy.</x:v>
      </x:c>
    </x:row>
    <x:row r="46">
      <x:c r="A46" s="44" t="n">
        <x:v>7</x:v>
      </x:c>
      <x:c r="B46" s="44" t="str">
        <x:v>A001_07</x:v>
      </x:c>
      <x:c r="C46" s="44" t="str">
        <x:v>Negative affect</x:v>
      </x:c>
      <x:c r="D46" s="44" t="n">
        <x:v>19</x:v>
      </x:c>
      <x:c r="E46" s="46" t="n">
        <x:v>1.2105263157894737</x:v>
      </x:c>
      <x:c r="F46" s="46" t="n">
        <x:v>0.21052631578947367</x:v>
      </x:c>
      <x:c r="G46" s="46" t="n">
        <x:v>0.6306035352846115</x:v>
      </x:c>
      <x:c r="H46" s="46" t="n">
        <x:v>0</x:v>
      </x:c>
      <x:c r="I46" s="46" t="n">
        <x:v>0</x:v>
      </x:c>
      <x:c r="J46" s="46" t="n">
        <x:v>2</x:v>
      </x:c>
      <x:c r="K46" s="44" t="str">
        <x:v>0–4</x:v>
      </x:c>
      <x:c r="L46" s="44" t="str">
        <x:v>Negative affect — bad mood</x:v>
      </x:c>
      <x:c r="M46" s="44" t="str">
        <x:v>It gave me a bad mood.</x:v>
      </x:c>
    </x:row>
    <x:row r="47">
      <x:c r="A47" s="44" t="n">
        <x:v>8</x:v>
      </x:c>
      <x:c r="B47" s="44" t="str">
        <x:v>A001_08</x:v>
      </x:c>
      <x:c r="C47" s="44" t="str">
        <x:v>Negative affect</x:v>
      </x:c>
      <x:c r="D47" s="44" t="n">
        <x:v>19</x:v>
      </x:c>
      <x:c r="E47" s="46" t="n">
        <x:v>1.631578947368421</x:v>
      </x:c>
      <x:c r="F47" s="46" t="n">
        <x:v>0.631578947368421</x:v>
      </x:c>
      <x:c r="G47" s="46" t="n">
        <x:v>0.9551338658818385</x:v>
      </x:c>
      <x:c r="H47" s="46" t="n">
        <x:v>0</x:v>
      </x:c>
      <x:c r="I47" s="46" t="n">
        <x:v>0</x:v>
      </x:c>
      <x:c r="J47" s="46" t="n">
        <x:v>3</x:v>
      </x:c>
      <x:c r="K47" s="44" t="str">
        <x:v>0–4</x:v>
      </x:c>
      <x:c r="L47" s="44" t="str">
        <x:v>Negative affect — mind-wandering</x:v>
      </x:c>
      <x:c r="M47" s="44" t="str">
        <x:v>I thought about other things.</x:v>
      </x:c>
    </x:row>
    <x:row r="48">
      <x:c r="A48" s="44" t="n">
        <x:v>9</x:v>
      </x:c>
      <x:c r="B48" s="44" t="str">
        <x:v>A001_09</x:v>
      </x:c>
      <x:c r="C48" s="44" t="str">
        <x:v>Negative affect</x:v>
      </x:c>
      <x:c r="D48" s="44" t="n">
        <x:v>19</x:v>
      </x:c>
      <x:c r="E48" s="46" t="n">
        <x:v>1.5263157894736843</x:v>
      </x:c>
      <x:c r="F48" s="46" t="n">
        <x:v>0.5263157894736842</x:v>
      </x:c>
      <x:c r="G48" s="46" t="n">
        <x:v>0.9048278567177283</x:v>
      </x:c>
      <x:c r="H48" s="46" t="n">
        <x:v>0</x:v>
      </x:c>
      <x:c r="I48" s="46" t="n">
        <x:v>0</x:v>
      </x:c>
      <x:c r="J48" s="46" t="n">
        <x:v>3</x:v>
      </x:c>
      <x:c r="K48" s="44" t="str">
        <x:v>0–4</x:v>
      </x:c>
      <x:c r="L48" s="44" t="str">
        <x:v>Negative affect — tiredness / tedium</x:v>
      </x:c>
      <x:c r="M48" s="44" t="str">
        <x:v>I found it tiresome.</x:v>
      </x:c>
    </x:row>
    <x:row r="49">
      <x:c r="A49" s="44" t="n">
        <x:v>10</x:v>
      </x:c>
      <x:c r="B49" s="44" t="str">
        <x:v>A001_10</x:v>
      </x:c>
      <x:c r="C49" s="44" t="str">
        <x:v>Competence</x:v>
      </x:c>
      <x:c r="D49" s="44" t="n">
        <x:v>19</x:v>
      </x:c>
      <x:c r="E49" s="46" t="n">
        <x:v>3.4210526315789473</x:v>
      </x:c>
      <x:c r="F49" s="46" t="n">
        <x:v>2.4210526315789473</x:v>
      </x:c>
      <x:c r="G49" s="46" t="n">
        <x:v>1.3045130838611438</x:v>
      </x:c>
      <x:c r="H49" s="46" t="n">
        <x:v>3</x:v>
      </x:c>
      <x:c r="I49" s="46" t="n">
        <x:v>0</x:v>
      </x:c>
      <x:c r="J49" s="46" t="n">
        <x:v>4</x:v>
      </x:c>
      <x:c r="K49" s="44" t="str">
        <x:v>0–4</x:v>
      </x:c>
      <x:c r="L49" s="44" t="str">
        <x:v>Competence — feeling capable</x:v>
      </x:c>
      <x:c r="M49" s="44" t="str">
        <x:v>I felt competent.</x:v>
      </x:c>
    </x:row>
    <x:row r="50">
      <x:c r="A50" s="44" t="n">
        <x:v>11</x:v>
      </x:c>
      <x:c r="B50" s="44" t="str">
        <x:v>A001_11</x:v>
      </x:c>
      <x:c r="C50" s="44" t="str">
        <x:v>Challenge</x:v>
      </x:c>
      <x:c r="D50" s="44" t="n">
        <x:v>19</x:v>
      </x:c>
      <x:c r="E50" s="46" t="n">
        <x:v>2.4210526315789473</x:v>
      </x:c>
      <x:c r="F50" s="46" t="n">
        <x:v>1.4210526315789473</x:v>
      </x:c>
      <x:c r="G50" s="46" t="n">
        <x:v>1.0706067580626215</x:v>
      </x:c>
      <x:c r="H50" s="46" t="n">
        <x:v>1</x:v>
      </x:c>
      <x:c r="I50" s="46" t="n">
        <x:v>0</x:v>
      </x:c>
      <x:c r="J50" s="46" t="n">
        <x:v>3</x:v>
      </x:c>
      <x:c r="K50" s="44" t="str">
        <x:v>0–4</x:v>
      </x:c>
      <x:c r="L50" s="44" t="str">
        <x:v>Challenge — perceived difficulty</x:v>
      </x:c>
      <x:c r="M50" s="44" t="str">
        <x:v>I thought it was hard.</x:v>
      </x:c>
    </x:row>
    <x:row r="51">
      <x:c r="A51" s="44" t="n">
        <x:v>12</x:v>
      </x:c>
      <x:c r="B51" s="44" t="str">
        <x:v>A001_12</x:v>
      </x:c>
      <x:c r="C51" s="44" t="str">
        <x:v>Sensory &amp; imaginative immersion</x:v>
      </x:c>
      <x:c r="D51" s="44" t="n">
        <x:v>19</x:v>
      </x:c>
      <x:c r="E51" s="46" t="n">
        <x:v>3.736842105263158</x:v>
      </x:c>
      <x:c r="F51" s="46" t="n">
        <x:v>2.736842105263158</x:v>
      </x:c>
      <x:c r="G51" s="46" t="n">
        <x:v>0.8056815791722831</x:v>
      </x:c>
      <x:c r="H51" s="46" t="n">
        <x:v>3</x:v>
      </x:c>
      <x:c r="I51" s="46" t="n">
        <x:v>1</x:v>
      </x:c>
      <x:c r="J51" s="46" t="n">
        <x:v>4</x:v>
      </x:c>
      <x:c r="K51" s="44" t="str">
        <x:v>0–4</x:v>
      </x:c>
      <x:c r="L51" s="44" t="str">
        <x:v>Immersion — aesthetic appreciation</x:v>
      </x:c>
      <x:c r="M51" s="44" t="str">
        <x:v>It was aesthetically pleasing.</x:v>
      </x:c>
    </x:row>
    <x:row r="52">
      <x:c r="A52" s="44" t="n">
        <x:v>13</x:v>
      </x:c>
      <x:c r="B52" s="44" t="str">
        <x:v>A001_13</x:v>
      </x:c>
      <x:c r="C52" s="44" t="str">
        <x:v>Flow</x:v>
      </x:c>
      <x:c r="D52" s="44" t="n">
        <x:v>19</x:v>
      </x:c>
      <x:c r="E52" s="46" t="n">
        <x:v>3.526315789473684</x:v>
      </x:c>
      <x:c r="F52" s="46" t="n">
        <x:v>2.526315789473684</x:v>
      </x:c>
      <x:c r="G52" s="46" t="n">
        <x:v>1.2187617145935725</x:v>
      </x:c>
      <x:c r="H52" s="46" t="n">
        <x:v>3</x:v>
      </x:c>
      <x:c r="I52" s="46" t="n">
        <x:v>0</x:v>
      </x:c>
      <x:c r="J52" s="46" t="n">
        <x:v>4</x:v>
      </x:c>
      <x:c r="K52" s="44" t="str">
        <x:v>0–4</x:v>
      </x:c>
      <x:c r="L52" s="44" t="str">
        <x:v>Flow — reduced awareness of surroundings</x:v>
      </x:c>
      <x:c r="M52" s="44" t="str">
        <x:v>I forgot everything around me.</x:v>
      </x:c>
    </x:row>
    <x:row r="53">
      <x:c r="A53" s="44" t="n">
        <x:v>14</x:v>
      </x:c>
      <x:c r="B53" s="44" t="str">
        <x:v>A001_14</x:v>
      </x:c>
      <x:c r="C53" s="44" t="str">
        <x:v>Positive affect</x:v>
      </x:c>
      <x:c r="D53" s="44" t="n">
        <x:v>19</x:v>
      </x:c>
      <x:c r="E53" s="46" t="n">
        <x:v>4</x:v>
      </x:c>
      <x:c r="F53" s="46" t="n">
        <x:v>3</x:v>
      </x:c>
      <x:c r="G53" s="46" t="n">
        <x:v>0.7453559924999299</x:v>
      </x:c>
      <x:c r="H53" s="46" t="n">
        <x:v>3</x:v>
      </x:c>
      <x:c r="I53" s="46" t="n">
        <x:v>2</x:v>
      </x:c>
      <x:c r="J53" s="46" t="n">
        <x:v>4</x:v>
      </x:c>
      <x:c r="K53" s="44" t="str">
        <x:v>0–4</x:v>
      </x:c>
      <x:c r="L53" s="44" t="str">
        <x:v>Positive affect — feeling good</x:v>
      </x:c>
      <x:c r="M53" s="44" t="str">
        <x:v>I felt good.</x:v>
      </x:c>
    </x:row>
    <x:row r="54">
      <x:c r="A54" s="44" t="n">
        <x:v>15</x:v>
      </x:c>
      <x:c r="B54" s="44" t="str">
        <x:v>A001_15</x:v>
      </x:c>
      <x:c r="C54" s="44" t="str">
        <x:v>Competence</x:v>
      </x:c>
      <x:c r="D54" s="44" t="n">
        <x:v>19</x:v>
      </x:c>
      <x:c r="E54" s="46" t="n">
        <x:v>3.263157894736842</x:v>
      </x:c>
      <x:c r="F54" s="46" t="n">
        <x:v>2.263157894736842</x:v>
      </x:c>
      <x:c r="G54" s="46" t="n">
        <x:v>1.1470786693528088</x:v>
      </x:c>
      <x:c r="H54" s="46" t="n">
        <x:v>2</x:v>
      </x:c>
      <x:c r="I54" s="46" t="n">
        <x:v>0</x:v>
      </x:c>
      <x:c r="J54" s="46" t="n">
        <x:v>4</x:v>
      </x:c>
      <x:c r="K54" s="44" t="str">
        <x:v>0–4</x:v>
      </x:c>
      <x:c r="L54" s="44" t="str">
        <x:v>Competence — performance confidence</x:v>
      </x:c>
      <x:c r="M54" s="44" t="str">
        <x:v>I was good at it.</x:v>
      </x:c>
    </x:row>
    <x:row r="55">
      <x:c r="A55" s="44" t="n">
        <x:v>16</x:v>
      </x:c>
      <x:c r="B55" s="44" t="str">
        <x:v>A001_16</x:v>
      </x:c>
      <x:c r="C55" s="44" t="str">
        <x:v>Negative affect</x:v>
      </x:c>
      <x:c r="D55" s="44" t="n">
        <x:v>19</x:v>
      </x:c>
      <x:c r="E55" s="46" t="n">
        <x:v>1.5263157894736843</x:v>
      </x:c>
      <x:c r="F55" s="46" t="n">
        <x:v>0.5263157894736842</x:v>
      </x:c>
      <x:c r="G55" s="46" t="n">
        <x:v>0.8411910241920599</x:v>
      </x:c>
      <x:c r="H55" s="46" t="n">
        <x:v>0</x:v>
      </x:c>
      <x:c r="I55" s="46" t="n">
        <x:v>0</x:v>
      </x:c>
      <x:c r="J55" s="46" t="n">
        <x:v>3</x:v>
      </x:c>
      <x:c r="K55" s="44" t="str">
        <x:v>0–4</x:v>
      </x:c>
      <x:c r="L55" s="44" t="str">
        <x:v>Negative affect — boredom</x:v>
      </x:c>
      <x:c r="M55" s="44" t="str">
        <x:v>I felt bored.</x:v>
      </x:c>
    </x:row>
    <x:row r="56">
      <x:c r="A56" s="44" t="n">
        <x:v>17</x:v>
      </x:c>
      <x:c r="B56" s="44" t="str">
        <x:v>A001_17</x:v>
      </x:c>
      <x:c r="C56" s="44" t="str">
        <x:v>Competence</x:v>
      </x:c>
      <x:c r="D56" s="44" t="n">
        <x:v>19</x:v>
      </x:c>
      <x:c r="E56" s="46" t="n">
        <x:v>3.3684210526315788</x:v>
      </x:c>
      <x:c r="F56" s="46" t="n">
        <x:v>2.3684210526315788</x:v>
      </x:c>
      <x:c r="G56" s="46" t="n">
        <x:v>0.8950807732508138</x:v>
      </x:c>
      <x:c r="H56" s="46" t="n">
        <x:v>3</x:v>
      </x:c>
      <x:c r="I56" s="46" t="n">
        <x:v>0</x:v>
      </x:c>
      <x:c r="J56" s="46" t="n">
        <x:v>3</x:v>
      </x:c>
      <x:c r="K56" s="44" t="str">
        <x:v>0–4</x:v>
      </x:c>
      <x:c r="L56" s="44" t="str">
        <x:v>Competence — feeling successful</x:v>
      </x:c>
      <x:c r="M56" s="44" t="str">
        <x:v>I felt successful.</x:v>
      </x:c>
    </x:row>
    <x:row r="57">
      <x:c r="A57" s="44" t="n">
        <x:v>18</x:v>
      </x:c>
      <x:c r="B57" s="44" t="str">
        <x:v>A001_18</x:v>
      </x:c>
      <x:c r="C57" s="44" t="str">
        <x:v>Sensory &amp; imaginative immersion</x:v>
      </x:c>
      <x:c r="D57" s="44" t="n">
        <x:v>19</x:v>
      </x:c>
      <x:c r="E57" s="46" t="n">
        <x:v>3.3684210526315788</x:v>
      </x:c>
      <x:c r="F57" s="46" t="n">
        <x:v>2.3684210526315788</x:v>
      </x:c>
      <x:c r="G57" s="46" t="n">
        <x:v>1.01162829777814</x:v>
      </x:c>
      <x:c r="H57" s="46" t="n">
        <x:v>3</x:v>
      </x:c>
      <x:c r="I57" s="46" t="n">
        <x:v>0</x:v>
      </x:c>
      <x:c r="J57" s="46" t="n">
        <x:v>4</x:v>
      </x:c>
      <x:c r="K57" s="44" t="str">
        <x:v>0–4</x:v>
      </x:c>
      <x:c r="L57" s="44" t="str">
        <x:v>Immersion — imagination activation</x:v>
      </x:c>
      <x:c r="M57" s="44" t="str">
        <x:v>I felt imaginative.</x:v>
      </x:c>
    </x:row>
    <x:row r="58">
      <x:c r="A58" s="44" t="n">
        <x:v>19</x:v>
      </x:c>
      <x:c r="B58" s="44" t="str">
        <x:v>A001_19</x:v>
      </x:c>
      <x:c r="C58" s="44" t="str">
        <x:v>Sensory &amp; imaginative immersion</x:v>
      </x:c>
      <x:c r="D58" s="44" t="n">
        <x:v>19</x:v>
      </x:c>
      <x:c r="E58" s="46" t="n">
        <x:v>3.473684210526316</x:v>
      </x:c>
      <x:c r="F58" s="46" t="n">
        <x:v>2.473684210526316</x:v>
      </x:c>
      <x:c r="G58" s="46" t="n">
        <x:v>1.1722922015640782</x:v>
      </x:c>
      <x:c r="H58" s="46" t="n">
        <x:v>3</x:v>
      </x:c>
      <x:c r="I58" s="46" t="n">
        <x:v>0</x:v>
      </x:c>
      <x:c r="J58" s="46" t="n">
        <x:v>4</x:v>
      </x:c>
      <x:c r="K58" s="44" t="str">
        <x:v>0–4</x:v>
      </x:c>
      <x:c r="L58" s="44" t="str">
        <x:v>Immersion — exploratory agency</x:v>
      </x:c>
      <x:c r="M58" s="44" t="str">
        <x:v>I felt that I could explore things.</x:v>
      </x:c>
    </x:row>
    <x:row r="59">
      <x:c r="A59" s="44" t="n">
        <x:v>20</x:v>
      </x:c>
      <x:c r="B59" s="44" t="str">
        <x:v>A001_20</x:v>
      </x:c>
      <x:c r="C59" s="44" t="str">
        <x:v>Positive affect</x:v>
      </x:c>
      <x:c r="D59" s="44" t="n">
        <x:v>19</x:v>
      </x:c>
      <x:c r="E59" s="46" t="n">
        <x:v>4</x:v>
      </x:c>
      <x:c r="F59" s="46" t="n">
        <x:v>3</x:v>
      </x:c>
      <x:c r="G59" s="46" t="n">
        <x:v>0.7453559924999299</x:v>
      </x:c>
      <x:c r="H59" s="46" t="n">
        <x:v>3</x:v>
      </x:c>
      <x:c r="I59" s="46" t="n">
        <x:v>1</x:v>
      </x:c>
      <x:c r="J59" s="46" t="n">
        <x:v>4</x:v>
      </x:c>
      <x:c r="K59" s="44" t="str">
        <x:v>0–4</x:v>
      </x:c>
      <x:c r="L59" s="44" t="str">
        <x:v>Positive affect — enjoyment</x:v>
      </x:c>
      <x:c r="M59" s="44" t="str">
        <x:v>I enjoyed it.</x:v>
      </x:c>
    </x:row>
    <x:row r="60">
      <x:c r="A60" s="44" t="n">
        <x:v>21</x:v>
      </x:c>
      <x:c r="B60" s="44" t="str">
        <x:v>A001_21</x:v>
      </x:c>
      <x:c r="C60" s="44" t="str">
        <x:v>Competence</x:v>
      </x:c>
      <x:c r="D60" s="44" t="n">
        <x:v>19</x:v>
      </x:c>
      <x:c r="E60" s="46" t="n">
        <x:v>3.210526315789474</x:v>
      </x:c>
      <x:c r="F60" s="46" t="n">
        <x:v>2.210526315789474</x:v>
      </x:c>
      <x:c r="G60" s="46" t="n">
        <x:v>1.2727462594467416</x:v>
      </x:c>
      <x:c r="H60" s="46" t="n">
        <x:v>3</x:v>
      </x:c>
      <x:c r="I60" s="46" t="n">
        <x:v>0</x:v>
      </x:c>
      <x:c r="J60" s="46" t="n">
        <x:v>4</x:v>
      </x:c>
      <x:c r="K60" s="44" t="str">
        <x:v>0–4</x:v>
      </x:c>
      <x:c r="L60" s="44" t="str">
        <x:v>Competence — speed in reaching goals</x:v>
      </x:c>
      <x:c r="M60" s="44" t="str">
        <x:v>I was fast at reaching the game's targets.</x:v>
      </x:c>
    </x:row>
    <x:row r="61">
      <x:c r="A61" s="44" t="n">
        <x:v>22</x:v>
      </x:c>
      <x:c r="B61" s="44" t="str">
        <x:v>A001_22</x:v>
      </x:c>
      <x:c r="C61" s="44" t="str">
        <x:v>Tension / annoyance</x:v>
      </x:c>
      <x:c r="D61" s="44" t="n">
        <x:v>19</x:v>
      </x:c>
      <x:c r="E61" s="46" t="n">
        <x:v>1.631578947368421</x:v>
      </x:c>
      <x:c r="F61" s="46" t="n">
        <x:v>0.631578947368421</x:v>
      </x:c>
      <x:c r="G61" s="46" t="n">
        <x:v>0.8306975860878394</x:v>
      </x:c>
      <x:c r="H61" s="46" t="n">
        <x:v>0</x:v>
      </x:c>
      <x:c r="I61" s="46" t="n">
        <x:v>0</x:v>
      </x:c>
      <x:c r="J61" s="46" t="n">
        <x:v>3</x:v>
      </x:c>
      <x:c r="K61" s="44" t="str">
        <x:v>0–4</x:v>
      </x:c>
      <x:c r="L61" s="44" t="str">
        <x:v>Tension / annoyance — annoyance</x:v>
      </x:c>
      <x:c r="M61" s="44" t="str">
        <x:v>I felt annoyed.</x:v>
      </x:c>
    </x:row>
    <x:row r="62">
      <x:c r="A62" s="44" t="n">
        <x:v>23</x:v>
      </x:c>
      <x:c r="B62" s="44" t="str">
        <x:v>A001_23</x:v>
      </x:c>
      <x:c r="C62" s="44" t="str">
        <x:v>Challenge</x:v>
      </x:c>
      <x:c r="D62" s="44" t="n">
        <x:v>19</x:v>
      </x:c>
      <x:c r="E62" s="46" t="n">
        <x:v>2.3684210526315788</x:v>
      </x:c>
      <x:c r="F62" s="46" t="n">
        <x:v>1.368421052631579</x:v>
      </x:c>
      <x:c r="G62" s="46" t="n">
        <x:v>1.065130472748108</x:v>
      </x:c>
      <x:c r="H62" s="46" t="n">
        <x:v>1</x:v>
      </x:c>
      <x:c r="I62" s="46" t="n">
        <x:v>0</x:v>
      </x:c>
      <x:c r="J62" s="46" t="n">
        <x:v>3</x:v>
      </x:c>
      <x:c r="K62" s="44" t="str">
        <x:v>0–4</x:v>
      </x:c>
      <x:c r="L62" s="44" t="str">
        <x:v>Challenge — felt pressure</x:v>
      </x:c>
      <x:c r="M62" s="44" t="str">
        <x:v>I felt pressured.</x:v>
      </x:c>
    </x:row>
    <x:row r="63">
      <x:c r="A63" s="44" t="n">
        <x:v>24</x:v>
      </x:c>
      <x:c r="B63" s="44" t="str">
        <x:v>A001_24</x:v>
      </x:c>
      <x:c r="C63" s="44" t="str">
        <x:v>Tension / annoyance</x:v>
      </x:c>
      <x:c r="D63" s="44" t="n">
        <x:v>19</x:v>
      </x:c>
      <x:c r="E63" s="46" t="n">
        <x:v>1.8421052631578947</x:v>
      </x:c>
      <x:c r="F63" s="46" t="n">
        <x:v>0.8421052631578947</x:v>
      </x:c>
      <x:c r="G63" s="46" t="n">
        <x:v>0.8983415518941832</x:v>
      </x:c>
      <x:c r="H63" s="46" t="n">
        <x:v>1</x:v>
      </x:c>
      <x:c r="I63" s="46" t="n">
        <x:v>0</x:v>
      </x:c>
      <x:c r="J63" s="46" t="n">
        <x:v>3</x:v>
      </x:c>
      <x:c r="K63" s="44" t="str">
        <x:v>0–4</x:v>
      </x:c>
      <x:c r="L63" s="44" t="str">
        <x:v>Tension / annoyance — irritability</x:v>
      </x:c>
      <x:c r="M63" s="44" t="str">
        <x:v>I felt irritable.</x:v>
      </x:c>
    </x:row>
    <x:row r="64">
      <x:c r="A64" s="44" t="n">
        <x:v>25</x:v>
      </x:c>
      <x:c r="B64" s="44" t="str">
        <x:v>A001_25</x:v>
      </x:c>
      <x:c r="C64" s="44" t="str">
        <x:v>Flow</x:v>
      </x:c>
      <x:c r="D64" s="44" t="n">
        <x:v>19</x:v>
      </x:c>
      <x:c r="E64" s="46" t="n">
        <x:v>2.6842105263157894</x:v>
      </x:c>
      <x:c r="F64" s="46" t="n">
        <x:v>1.6842105263157894</x:v>
      </x:c>
      <x:c r="G64" s="46" t="n">
        <x:v>1.1081832770072813</x:v>
      </x:c>
      <x:c r="H64" s="46" t="n">
        <x:v>2</x:v>
      </x:c>
      <x:c r="I64" s="46" t="n">
        <x:v>0</x:v>
      </x:c>
      <x:c r="J64" s="46" t="n">
        <x:v>4</x:v>
      </x:c>
      <x:c r="K64" s="44" t="str">
        <x:v>0–4</x:v>
      </x:c>
      <x:c r="L64" s="44" t="str">
        <x:v>Flow — altered sense of time</x:v>
      </x:c>
      <x:c r="M64" s="44" t="str">
        <x:v>I lost track of time.</x:v>
      </x:c>
    </x:row>
    <x:row r="65">
      <x:c r="A65" s="44" t="n">
        <x:v>26</x:v>
      </x:c>
      <x:c r="B65" s="44" t="str">
        <x:v>A001_26</x:v>
      </x:c>
      <x:c r="C65" s="44" t="str">
        <x:v>Challenge</x:v>
      </x:c>
      <x:c r="D65" s="44" t="n">
        <x:v>19</x:v>
      </x:c>
      <x:c r="E65" s="46" t="n">
        <x:v>3.210526315789474</x:v>
      </x:c>
      <x:c r="F65" s="46" t="n">
        <x:v>2.210526315789474</x:v>
      </x:c>
      <x:c r="G65" s="46" t="n">
        <x:v>0.8549819600709617</x:v>
      </x:c>
      <x:c r="H65" s="46" t="n">
        <x:v>2</x:v>
      </x:c>
      <x:c r="I65" s="46" t="n">
        <x:v>1</x:v>
      </x:c>
      <x:c r="J65" s="46" t="n">
        <x:v>4</x:v>
      </x:c>
      <x:c r="K65" s="44" t="str">
        <x:v>0–4</x:v>
      </x:c>
      <x:c r="L65" s="44" t="str">
        <x:v>Challenge — felt challenge</x:v>
      </x:c>
      <x:c r="M65" s="44" t="str">
        <x:v>I felt challenged.</x:v>
      </x:c>
    </x:row>
    <x:row r="66">
      <x:c r="A66" s="44" t="n">
        <x:v>27</x:v>
      </x:c>
      <x:c r="B66" s="44" t="str">
        <x:v>A001_27</x:v>
      </x:c>
      <x:c r="C66" s="44" t="str">
        <x:v>Sensory &amp; imaginative immersion</x:v>
      </x:c>
      <x:c r="D66" s="44" t="n">
        <x:v>19</x:v>
      </x:c>
      <x:c r="E66" s="46" t="n">
        <x:v>4</x:v>
      </x:c>
      <x:c r="F66" s="46" t="n">
        <x:v>3</x:v>
      </x:c>
      <x:c r="G66" s="46" t="n">
        <x:v>0.7453559924999299</x:v>
      </x:c>
      <x:c r="H66" s="46" t="n">
        <x:v>3</x:v>
      </x:c>
      <x:c r="I66" s="46" t="n">
        <x:v>1</x:v>
      </x:c>
      <x:c r="J66" s="46" t="n">
        <x:v>4</x:v>
      </x:c>
      <x:c r="K66" s="44" t="str">
        <x:v>0–4</x:v>
      </x:c>
      <x:c r="L66" s="44" t="str">
        <x:v>Immersion — impressiveness</x:v>
      </x:c>
      <x:c r="M66" s="44" t="str">
        <x:v>I found it impressive.</x:v>
      </x:c>
    </x:row>
    <x:row r="67">
      <x:c r="A67" s="44" t="n">
        <x:v>28</x:v>
      </x:c>
      <x:c r="B67" s="44" t="str">
        <x:v>A001_28</x:v>
      </x:c>
      <x:c r="C67" s="44" t="str">
        <x:v>Flow</x:v>
      </x:c>
      <x:c r="D67" s="44" t="n">
        <x:v>19</x:v>
      </x:c>
      <x:c r="E67" s="46" t="n">
        <x:v>4.157894736842105</x:v>
      </x:c>
      <x:c r="F67" s="46" t="n">
        <x:v>3.1578947368421053</x:v>
      </x:c>
      <x:c r="G67" s="46" t="n">
        <x:v>0.8342100651206136</x:v>
      </x:c>
      <x:c r="H67" s="46" t="n">
        <x:v>3</x:v>
      </x:c>
      <x:c r="I67" s="46" t="n">
        <x:v>2</x:v>
      </x:c>
      <x:c r="J67" s="46" t="n">
        <x:v>4</x:v>
      </x:c>
      <x:c r="K67" s="44" t="str">
        <x:v>0–4</x:v>
      </x:c>
      <x:c r="L67" s="44" t="str">
        <x:v>Flow — deep concentration</x:v>
      </x:c>
      <x:c r="M67" s="44" t="str">
        <x:v>I was deeply concentrated in the game.</x:v>
      </x:c>
    </x:row>
    <x:row r="68">
      <x:c r="A68" s="44" t="n">
        <x:v>29</x:v>
      </x:c>
      <x:c r="B68" s="44" t="str">
        <x:v>A001_29</x:v>
      </x:c>
      <x:c r="C68" s="44" t="str">
        <x:v>Tension / annoyance</x:v>
      </x:c>
      <x:c r="D68" s="44" t="n">
        <x:v>19</x:v>
      </x:c>
      <x:c r="E68" s="46" t="n">
        <x:v>1.5789473684210527</x:v>
      </x:c>
      <x:c r="F68" s="46" t="n">
        <x:v>0.5789473684210527</x:v>
      </x:c>
      <x:c r="G68" s="46" t="n">
        <x:v>0.8377078165833909</x:v>
      </x:c>
      <x:c r="H68" s="46" t="n">
        <x:v>0</x:v>
      </x:c>
      <x:c r="I68" s="46" t="n">
        <x:v>0</x:v>
      </x:c>
      <x:c r="J68" s="46" t="n">
        <x:v>2</x:v>
      </x:c>
      <x:c r="K68" s="44" t="str">
        <x:v>0–4</x:v>
      </x:c>
      <x:c r="L68" s="44" t="str">
        <x:v>Tension / annoyance — frustration</x:v>
      </x:c>
      <x:c r="M68" s="44" t="str">
        <x:v>I felt frustrated.</x:v>
      </x:c>
    </x:row>
    <x:row r="69">
      <x:c r="A69" s="44" t="n">
        <x:v>30</x:v>
      </x:c>
      <x:c r="B69" s="44" t="str">
        <x:v>A001_30</x:v>
      </x:c>
      <x:c r="C69" s="44" t="str">
        <x:v>Sensory &amp; imaginative immersion</x:v>
      </x:c>
      <x:c r="D69" s="44" t="n">
        <x:v>19</x:v>
      </x:c>
      <x:c r="E69" s="46" t="n">
        <x:v>3.8421052631578947</x:v>
      </x:c>
      <x:c r="F69" s="46" t="n">
        <x:v>2.8421052631578947</x:v>
      </x:c>
      <x:c r="G69" s="46" t="n">
        <x:v>0.9581903020646579</x:v>
      </x:c>
      <x:c r="H69" s="46" t="n">
        <x:v>3</x:v>
      </x:c>
      <x:c r="I69" s="46" t="n">
        <x:v>1</x:v>
      </x:c>
      <x:c r="J69" s="46" t="n">
        <x:v>4</x:v>
      </x:c>
      <x:c r="K69" s="44" t="str">
        <x:v>0–4</x:v>
      </x:c>
      <x:c r="L69" s="44" t="str">
        <x:v>Immersion — richness of experience</x:v>
      </x:c>
      <x:c r="M69" s="44" t="str">
        <x:v>It felt like a rich experience.</x:v>
      </x:c>
    </x:row>
    <x:row r="70">
      <x:c r="A70" s="44" t="n">
        <x:v>31</x:v>
      </x:c>
      <x:c r="B70" s="44" t="str">
        <x:v>A001_31</x:v>
      </x:c>
      <x:c r="C70" s="44" t="str">
        <x:v>Flow</x:v>
      </x:c>
      <x:c r="D70" s="44" t="n">
        <x:v>19</x:v>
      </x:c>
      <x:c r="E70" s="46" t="n">
        <x:v>2.789473684210526</x:v>
      </x:c>
      <x:c r="F70" s="46" t="n">
        <x:v>1.7894736842105263</x:v>
      </x:c>
      <x:c r="G70" s="46" t="n">
        <x:v>1.0841764600337107</x:v>
      </x:c>
      <x:c r="H70" s="46" t="n">
        <x:v>2</x:v>
      </x:c>
      <x:c r="I70" s="46" t="n">
        <x:v>0</x:v>
      </x:c>
      <x:c r="J70" s="46" t="n">
        <x:v>4</x:v>
      </x:c>
      <x:c r="K70" s="44" t="str">
        <x:v>0–4</x:v>
      </x:c>
      <x:c r="L70" s="44" t="str">
        <x:v>Flow — disconnection from outside world</x:v>
      </x:c>
      <x:c r="M70" s="44" t="str">
        <x:v>I lost connection with the outside world.</x:v>
      </x:c>
    </x:row>
    <x:row r="71">
      <x:c r="A71" s="44" t="n">
        <x:v>32</x:v>
      </x:c>
      <x:c r="B71" s="44" t="str">
        <x:v>A001_32</x:v>
      </x:c>
      <x:c r="C71" s="44" t="str">
        <x:v>Challenge</x:v>
      </x:c>
      <x:c r="D71" s="44" t="n">
        <x:v>19</x:v>
      </x:c>
      <x:c r="E71" s="46" t="n">
        <x:v>3</x:v>
      </x:c>
      <x:c r="F71" s="46" t="n">
        <x:v>2</x:v>
      </x:c>
      <x:c r="G71" s="46" t="n">
        <x:v>1.3743685418725535</x:v>
      </x:c>
      <x:c r="H71" s="46" t="n">
        <x:v>2</x:v>
      </x:c>
      <x:c r="I71" s="46" t="n">
        <x:v>0</x:v>
      </x:c>
      <x:c r="J71" s="46" t="n">
        <x:v>4</x:v>
      </x:c>
      <x:c r="K71" s="44" t="str">
        <x:v>0–4</x:v>
      </x:c>
      <x:c r="L71" s="44" t="str">
        <x:v>Challenge — rewarding experience (official GEQ mapping)</x:v>
      </x:c>
      <x:c r="M71" s="44" t="str">
        <x:v>It felt rewarding.</x:v>
      </x:c>
    </x:row>
    <x:row r="72">
      <x:c r="A72" s="44" t="n">
        <x:v>33</x:v>
      </x:c>
      <x:c r="B72" s="44" t="str">
        <x:v>A001_33</x:v>
      </x:c>
      <x:c r="C72" s="44" t="str">
        <x:v>Challenge</x:v>
      </x:c>
      <x:c r="D72" s="44" t="n">
        <x:v>19</x:v>
      </x:c>
      <x:c r="E72" s="46" t="n">
        <x:v>3.263157894736842</x:v>
      </x:c>
      <x:c r="F72" s="46" t="n">
        <x:v>2.263157894736842</x:v>
      </x:c>
      <x:c r="G72" s="46" t="n">
        <x:v>1.3267380744248862</x:v>
      </x:c>
      <x:c r="H72" s="46" t="n">
        <x:v>2</x:v>
      </x:c>
      <x:c r="I72" s="46" t="n">
        <x:v>0</x:v>
      </x:c>
      <x:c r="J72" s="46" t="n">
        <x:v>4</x:v>
      </x:c>
      <x:c r="K72" s="44" t="str">
        <x:v>0–4</x:v>
      </x:c>
      <x:c r="L72" s="44" t="str">
        <x:v>Challenge — effort invested</x:v>
      </x:c>
      <x:c r="M72" s="44" t="str">
        <x:v>I put a lot of effort into it.</x:v>
      </x:c>
    </x:row>
  </x:sheetData>
  <x:mergeCells>
    <x:mergeCell ref="A1:K1"/>
    <x:mergeCell ref="A2:K2"/>
    <x:mergeCell ref="A4:K4"/>
    <x:mergeCell ref="A5:K5"/>
    <x:mergeCell ref="A14:K14"/>
    <x:mergeCell ref="M5:Q5"/>
    <x:mergeCell ref="A15:K15"/>
    <x:mergeCell ref="A38:M38"/>
  </x:mergeCells>
  <x:conditionalFormatting sqref="C17:I35">
    <x:cfRule type="colorScale" priority="1">
      <x:colorScale>
        <x:cfvo type="min"/>
        <x:cfvo type="percentile" val="50"/>
        <x:cfvo type="max"/>
        <x:color rgb="FFF7E1E1"/>
        <x:color rgb="FFF8EACD"/>
        <x:color rgb="FFE1EFE7"/>
      </x:colorScale>
    </x:cfRule>
  </x:conditionalFormatting>
  <x:pageMargins left="0.7" right="0.7" top="0.75" bottom="0.75" header="0.3" footer="0.3"/>
  <x:legacyDrawing xmlns:r="http://schemas.openxmlformats.org/officeDocument/2006/relationships" r:id="Rae1978b9b89f47f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</x:cols>
  <x:sheetData>
    <x:row r="1" ht="30" customHeight="1">
      <x:c r="A1" s="3" t="str">
        <x:v>Raw GEQ responses (unaltered 1–5 inputs)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</x:row>
    <x:row r="2" ht="42" customHeight="1">
      <x:c r="A2" s="7" t="str">
        <x:v>Participant is the unique identifier. Age is copied exactly from source column AS (B102_01); blank means not provided in the source.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</x:row>
    <x:row r="4">
      <x:c r="A4" s="35" t="str">
        <x:v>Participant</x:v>
      </x:c>
      <x:c r="B4" s="36" t="str">
        <x:v>Age (source AS)</x:v>
      </x:c>
      <x:c r="C4" s="36" t="str">
        <x:v>A001_01</x:v>
      </x:c>
      <x:c r="D4" s="36" t="str">
        <x:v>A001_02</x:v>
      </x:c>
      <x:c r="E4" s="36" t="str">
        <x:v>A001_03</x:v>
      </x:c>
      <x:c r="F4" s="36" t="str">
        <x:v>A001_04</x:v>
      </x:c>
      <x:c r="G4" s="36" t="str">
        <x:v>A001_05</x:v>
      </x:c>
      <x:c r="H4" s="36" t="str">
        <x:v>A001_06</x:v>
      </x:c>
      <x:c r="I4" s="36" t="str">
        <x:v>A001_07</x:v>
      </x:c>
      <x:c r="J4" s="36" t="str">
        <x:v>A001_08</x:v>
      </x:c>
      <x:c r="K4" s="36" t="str">
        <x:v>A001_09</x:v>
      </x:c>
      <x:c r="L4" s="36" t="str">
        <x:v>A001_10</x:v>
      </x:c>
      <x:c r="M4" s="36" t="str">
        <x:v>A001_11</x:v>
      </x:c>
      <x:c r="N4" s="36" t="str">
        <x:v>A001_12</x:v>
      </x:c>
      <x:c r="O4" s="36" t="str">
        <x:v>A001_13</x:v>
      </x:c>
      <x:c r="P4" s="36" t="str">
        <x:v>A001_14</x:v>
      </x:c>
      <x:c r="Q4" s="36" t="str">
        <x:v>A001_15</x:v>
      </x:c>
      <x:c r="R4" s="36" t="str">
        <x:v>A001_16</x:v>
      </x:c>
      <x:c r="S4" s="36" t="str">
        <x:v>A001_17</x:v>
      </x:c>
      <x:c r="T4" s="36" t="str">
        <x:v>A001_18</x:v>
      </x:c>
      <x:c r="U4" s="36" t="str">
        <x:v>A001_19</x:v>
      </x:c>
      <x:c r="V4" s="36" t="str">
        <x:v>A001_20</x:v>
      </x:c>
      <x:c r="W4" s="36" t="str">
        <x:v>A001_21</x:v>
      </x:c>
      <x:c r="X4" s="36" t="str">
        <x:v>A001_22</x:v>
      </x:c>
      <x:c r="Y4" s="36" t="str">
        <x:v>A001_23</x:v>
      </x:c>
      <x:c r="Z4" s="36" t="str">
        <x:v>A001_24</x:v>
      </x:c>
      <x:c r="AA4" s="36" t="str">
        <x:v>A001_25</x:v>
      </x:c>
      <x:c r="AB4" s="36" t="str">
        <x:v>A001_26</x:v>
      </x:c>
      <x:c r="AC4" s="36" t="str">
        <x:v>A001_27</x:v>
      </x:c>
      <x:c r="AD4" s="36" t="str">
        <x:v>A001_28</x:v>
      </x:c>
      <x:c r="AE4" s="36" t="str">
        <x:v>A001_29</x:v>
      </x:c>
      <x:c r="AF4" s="36" t="str">
        <x:v>A001_30</x:v>
      </x:c>
      <x:c r="AG4" s="36" t="str">
        <x:v>A001_31</x:v>
      </x:c>
      <x:c r="AH4" s="36" t="str">
        <x:v>A001_32</x:v>
      </x:c>
      <x:c r="AI4" s="37" t="str">
        <x:v>A001_33</x:v>
      </x:c>
    </x:row>
    <x:row r="5">
      <x:c r="A5" s="43" t="str">
        <x:v>P01 — song</x:v>
      </x:c>
      <x:c r="B5" s="47" t="n">
        <x:v>40</x:v>
      </x:c>
      <x:c r="C5" s="47" t="n">
        <x:v>3</x:v>
      </x:c>
      <x:c r="D5" s="47" t="n">
        <x:v>3</x:v>
      </x:c>
      <x:c r="E5" s="47" t="n">
        <x:v>3</x:v>
      </x:c>
      <x:c r="F5" s="47" t="n">
        <x:v>3</x:v>
      </x:c>
      <x:c r="G5" s="47" t="n">
        <x:v>3</x:v>
      </x:c>
      <x:c r="H5" s="47" t="n">
        <x:v>3</x:v>
      </x:c>
      <x:c r="I5" s="47" t="n">
        <x:v>3</x:v>
      </x:c>
      <x:c r="J5" s="47" t="n">
        <x:v>3</x:v>
      </x:c>
      <x:c r="K5" s="47" t="n">
        <x:v>3</x:v>
      </x:c>
      <x:c r="L5" s="47" t="n">
        <x:v>3</x:v>
      </x:c>
      <x:c r="M5" s="47" t="n">
        <x:v>3</x:v>
      </x:c>
      <x:c r="N5" s="47" t="n">
        <x:v>3</x:v>
      </x:c>
      <x:c r="O5" s="47" t="n">
        <x:v>3</x:v>
      </x:c>
      <x:c r="P5" s="47" t="n">
        <x:v>3</x:v>
      </x:c>
      <x:c r="Q5" s="47" t="n">
        <x:v>3</x:v>
      </x:c>
      <x:c r="R5" s="47" t="n">
        <x:v>3</x:v>
      </x:c>
      <x:c r="S5" s="47" t="n">
        <x:v>3</x:v>
      </x:c>
      <x:c r="T5" s="47" t="n">
        <x:v>3</x:v>
      </x:c>
      <x:c r="U5" s="47" t="n">
        <x:v>3</x:v>
      </x:c>
      <x:c r="V5" s="47" t="n">
        <x:v>3</x:v>
      </x:c>
      <x:c r="W5" s="47" t="n">
        <x:v>3</x:v>
      </x:c>
      <x:c r="X5" s="47" t="n">
        <x:v>3</x:v>
      </x:c>
      <x:c r="Y5" s="47" t="n">
        <x:v>3</x:v>
      </x:c>
      <x:c r="Z5" s="47" t="n">
        <x:v>3</x:v>
      </x:c>
      <x:c r="AA5" s="47" t="n">
        <x:v>3</x:v>
      </x:c>
      <x:c r="AB5" s="47" t="n">
        <x:v>3</x:v>
      </x:c>
      <x:c r="AC5" s="47" t="n">
        <x:v>3</x:v>
      </x:c>
      <x:c r="AD5" s="47" t="n">
        <x:v>3</x:v>
      </x:c>
      <x:c r="AE5" s="47" t="n">
        <x:v>3</x:v>
      </x:c>
      <x:c r="AF5" s="47" t="n">
        <x:v>3</x:v>
      </x:c>
      <x:c r="AG5" s="47" t="n">
        <x:v>3</x:v>
      </x:c>
      <x:c r="AH5" s="47" t="n">
        <x:v>3</x:v>
      </x:c>
      <x:c r="AI5" s="47" t="n">
        <x:v>3</x:v>
      </x:c>
    </x:row>
    <x:row r="6">
      <x:c r="A6" s="44" t="str">
        <x:v>P02 — diane</x:v>
      </x:c>
      <x:c r="B6" s="48" t="n">
        <x:v>61</x:v>
      </x:c>
      <x:c r="C6" s="48" t="n">
        <x:v>3</x:v>
      </x:c>
      <x:c r="D6" s="48" t="n">
        <x:v>4</x:v>
      </x:c>
      <x:c r="E6" s="48" t="n">
        <x:v>4</x:v>
      </x:c>
      <x:c r="F6" s="48" t="n">
        <x:v>5</x:v>
      </x:c>
      <x:c r="G6" s="48" t="n">
        <x:v>5</x:v>
      </x:c>
      <x:c r="H6" s="48" t="n">
        <x:v>2</x:v>
      </x:c>
      <x:c r="I6" s="48" t="n">
        <x:v>1</x:v>
      </x:c>
      <x:c r="J6" s="48" t="n">
        <x:v>1</x:v>
      </x:c>
      <x:c r="K6" s="48" t="n">
        <x:v>1</x:v>
      </x:c>
      <x:c r="L6" s="48" t="n">
        <x:v>3</x:v>
      </x:c>
      <x:c r="M6" s="48" t="n">
        <x:v>4</x:v>
      </x:c>
      <x:c r="N6" s="48" t="n">
        <x:v>4</x:v>
      </x:c>
      <x:c r="O6" s="48" t="n">
        <x:v>5</x:v>
      </x:c>
      <x:c r="P6" s="48" t="n">
        <x:v>4</x:v>
      </x:c>
      <x:c r="Q6" s="48" t="n">
        <x:v>2</x:v>
      </x:c>
      <x:c r="R6" s="48" t="n">
        <x:v>1</x:v>
      </x:c>
      <x:c r="S6" s="48" t="n">
        <x:v>2</x:v>
      </x:c>
      <x:c r="T6" s="48" t="n">
        <x:v>3</x:v>
      </x:c>
      <x:c r="U6" s="48" t="n">
        <x:v>4</x:v>
      </x:c>
      <x:c r="V6" s="48" t="n">
        <x:v>5</x:v>
      </x:c>
      <x:c r="W6" s="48" t="n">
        <x:v>3</x:v>
      </x:c>
      <x:c r="X6" s="48" t="n">
        <x:v>1</x:v>
      </x:c>
      <x:c r="Y6" s="48" t="n">
        <x:v>4</x:v>
      </x:c>
      <x:c r="Z6" s="48" t="n">
        <x:v>3</x:v>
      </x:c>
      <x:c r="AA6" s="48" t="n">
        <x:v>4</x:v>
      </x:c>
      <x:c r="AB6" s="48" t="n">
        <x:v>4</x:v>
      </x:c>
      <x:c r="AC6" s="48" t="n">
        <x:v>4</x:v>
      </x:c>
      <x:c r="AD6" s="48" t="n">
        <x:v>5</x:v>
      </x:c>
      <x:c r="AE6" s="48" t="n">
        <x:v>3</x:v>
      </x:c>
      <x:c r="AF6" s="48" t="n">
        <x:v>4</x:v>
      </x:c>
      <x:c r="AG6" s="48" t="n">
        <x:v>4</x:v>
      </x:c>
      <x:c r="AH6" s="48" t="n">
        <x:v>5</x:v>
      </x:c>
      <x:c r="AI6" s="48" t="n">
        <x:v>5</x:v>
      </x:c>
    </x:row>
    <x:row r="7">
      <x:c r="A7" s="44" t="str">
        <x:v>P03 — Andy</x:v>
      </x:c>
      <x:c r="B7" s="48" t="n">
        <x:v>20</x:v>
      </x:c>
      <x:c r="C7" s="48" t="n">
        <x:v>5</x:v>
      </x:c>
      <x:c r="D7" s="48" t="n">
        <x:v>4</x:v>
      </x:c>
      <x:c r="E7" s="48" t="n">
        <x:v>5</x:v>
      </x:c>
      <x:c r="F7" s="48" t="n">
        <x:v>5</x:v>
      </x:c>
      <x:c r="G7" s="48" t="n">
        <x:v>5</x:v>
      </x:c>
      <x:c r="H7" s="48" t="n">
        <x:v>4</x:v>
      </x:c>
      <x:c r="I7" s="48" t="n">
        <x:v>1</x:v>
      </x:c>
      <x:c r="J7" s="48" t="n">
        <x:v>1</x:v>
      </x:c>
      <x:c r="K7" s="48" t="n">
        <x:v>1</x:v>
      </x:c>
      <x:c r="L7" s="48" t="n">
        <x:v>4</x:v>
      </x:c>
      <x:c r="M7" s="48" t="n">
        <x:v>3</x:v>
      </x:c>
      <x:c r="N7" s="48" t="n">
        <x:v>4</x:v>
      </x:c>
      <x:c r="O7" s="48" t="n">
        <x:v>5</x:v>
      </x:c>
      <x:c r="P7" s="48" t="n">
        <x:v>5</x:v>
      </x:c>
      <x:c r="Q7" s="48" t="n">
        <x:v>5</x:v>
      </x:c>
      <x:c r="R7" s="48" t="n">
        <x:v>1</x:v>
      </x:c>
      <x:c r="S7" s="48" t="n">
        <x:v>4</x:v>
      </x:c>
      <x:c r="T7" s="48" t="n">
        <x:v>5</x:v>
      </x:c>
      <x:c r="U7" s="48" t="n">
        <x:v>5</x:v>
      </x:c>
      <x:c r="V7" s="48" t="n">
        <x:v>5</x:v>
      </x:c>
      <x:c r="W7" s="48" t="n">
        <x:v>4</x:v>
      </x:c>
      <x:c r="X7" s="48" t="n">
        <x:v>1</x:v>
      </x:c>
      <x:c r="Y7" s="48" t="n">
        <x:v>2</x:v>
      </x:c>
      <x:c r="Z7" s="48" t="n">
        <x:v>1</x:v>
      </x:c>
      <x:c r="AA7" s="48" t="n">
        <x:v>3</x:v>
      </x:c>
      <x:c r="AB7" s="48" t="n">
        <x:v>3</x:v>
      </x:c>
      <x:c r="AC7" s="48" t="n">
        <x:v>5</x:v>
      </x:c>
      <x:c r="AD7" s="48" t="n">
        <x:v>5</x:v>
      </x:c>
      <x:c r="AE7" s="48" t="n">
        <x:v>1</x:v>
      </x:c>
      <x:c r="AF7" s="48" t="n">
        <x:v>5</x:v>
      </x:c>
      <x:c r="AG7" s="48" t="n">
        <x:v>4</x:v>
      </x:c>
      <x:c r="AH7" s="48" t="n">
        <x:v>2</x:v>
      </x:c>
      <x:c r="AI7" s="48" t="n">
        <x:v>4</x:v>
      </x:c>
    </x:row>
    <x:row r="8">
      <x:c r="A8" s="44" t="str">
        <x:v>P04 — Madan</x:v>
      </x:c>
      <x:c r="B8" s="48" t="n">
        <x:v>28</x:v>
      </x:c>
      <x:c r="C8" s="48" t="n">
        <x:v>3</x:v>
      </x:c>
      <x:c r="D8" s="48" t="n">
        <x:v>4</x:v>
      </x:c>
      <x:c r="E8" s="48" t="n">
        <x:v>3</x:v>
      </x:c>
      <x:c r="F8" s="48" t="n">
        <x:v>4</x:v>
      </x:c>
      <x:c r="G8" s="48" t="n">
        <x:v>5</x:v>
      </x:c>
      <x:c r="H8" s="48" t="n">
        <x:v>3</x:v>
      </x:c>
      <x:c r="I8" s="48" t="n">
        <x:v>1</x:v>
      </x:c>
      <x:c r="J8" s="48" t="n">
        <x:v>1</x:v>
      </x:c>
      <x:c r="K8" s="48" t="n">
        <x:v>1</x:v>
      </x:c>
      <x:c r="L8" s="48" t="n">
        <x:v>4</x:v>
      </x:c>
      <x:c r="M8" s="48" t="n">
        <x:v>2</x:v>
      </x:c>
      <x:c r="N8" s="48" t="n">
        <x:v>3</x:v>
      </x:c>
      <x:c r="O8" s="48" t="n">
        <x:v>5</x:v>
      </x:c>
      <x:c r="P8" s="48" t="n">
        <x:v>5</x:v>
      </x:c>
      <x:c r="Q8" s="48" t="n">
        <x:v>3</x:v>
      </x:c>
      <x:c r="R8" s="48" t="n">
        <x:v>1</x:v>
      </x:c>
      <x:c r="S8" s="48" t="n">
        <x:v>4</x:v>
      </x:c>
      <x:c r="T8" s="48" t="n">
        <x:v>4</x:v>
      </x:c>
      <x:c r="U8" s="48" t="n">
        <x:v>3</x:v>
      </x:c>
      <x:c r="V8" s="48" t="n">
        <x:v>4</x:v>
      </x:c>
      <x:c r="W8" s="48" t="n">
        <x:v>4</x:v>
      </x:c>
      <x:c r="X8" s="48" t="n">
        <x:v>1</x:v>
      </x:c>
      <x:c r="Y8" s="48" t="n">
        <x:v>3</x:v>
      </x:c>
      <x:c r="Z8" s="48" t="n">
        <x:v>1</x:v>
      </x:c>
      <x:c r="AA8" s="48" t="n">
        <x:v>3</x:v>
      </x:c>
      <x:c r="AB8" s="48" t="n">
        <x:v>4</x:v>
      </x:c>
      <x:c r="AC8" s="48" t="n">
        <x:v>4</x:v>
      </x:c>
      <x:c r="AD8" s="48" t="n">
        <x:v>5</x:v>
      </x:c>
      <x:c r="AE8" s="48" t="n">
        <x:v>1</x:v>
      </x:c>
      <x:c r="AF8" s="48" t="n">
        <x:v>3</x:v>
      </x:c>
      <x:c r="AG8" s="48" t="n">
        <x:v>3</x:v>
      </x:c>
      <x:c r="AH8" s="48" t="n">
        <x:v>3</x:v>
      </x:c>
      <x:c r="AI8" s="48" t="n">
        <x:v>2</x:v>
      </x:c>
    </x:row>
    <x:row r="9">
      <x:c r="A9" s="44" t="str">
        <x:v>P05 — Octavio</x:v>
      </x:c>
      <x:c r="B9" s="48" t="n">
        <x:v>26</x:v>
      </x:c>
      <x:c r="C9" s="48" t="n">
        <x:v>4</x:v>
      </x:c>
      <x:c r="D9" s="48" t="n">
        <x:v>5</x:v>
      </x:c>
      <x:c r="E9" s="48" t="n">
        <x:v>4</x:v>
      </x:c>
      <x:c r="F9" s="48" t="n">
        <x:v>5</x:v>
      </x:c>
      <x:c r="G9" s="48" t="n">
        <x:v>5</x:v>
      </x:c>
      <x:c r="H9" s="48" t="n">
        <x:v>5</x:v>
      </x:c>
      <x:c r="I9" s="48" t="n">
        <x:v>1</x:v>
      </x:c>
      <x:c r="J9" s="48" t="n">
        <x:v>3</x:v>
      </x:c>
      <x:c r="K9" s="48" t="n">
        <x:v>1</x:v>
      </x:c>
      <x:c r="L9" s="48" t="n">
        <x:v>5</x:v>
      </x:c>
      <x:c r="M9" s="48" t="n">
        <x:v>2</x:v>
      </x:c>
      <x:c r="N9" s="48" t="n">
        <x:v>4</x:v>
      </x:c>
      <x:c r="O9" s="48" t="n">
        <x:v>4</x:v>
      </x:c>
      <x:c r="P9" s="48" t="n">
        <x:v>5</x:v>
      </x:c>
      <x:c r="Q9" s="48" t="n">
        <x:v>4</x:v>
      </x:c>
      <x:c r="R9" s="48" t="n">
        <x:v>1</x:v>
      </x:c>
      <x:c r="S9" s="48" t="n">
        <x:v>4</x:v>
      </x:c>
      <x:c r="T9" s="48" t="n">
        <x:v>4</x:v>
      </x:c>
      <x:c r="U9" s="48" t="n">
        <x:v>3</x:v>
      </x:c>
      <x:c r="V9" s="48" t="n">
        <x:v>5</x:v>
      </x:c>
      <x:c r="W9" s="48" t="n">
        <x:v>4</x:v>
      </x:c>
      <x:c r="X9" s="48" t="n">
        <x:v>1</x:v>
      </x:c>
      <x:c r="Y9" s="48" t="n">
        <x:v>3</x:v>
      </x:c>
      <x:c r="Z9" s="48" t="n">
        <x:v>1</x:v>
      </x:c>
      <x:c r="AA9" s="48" t="n">
        <x:v>2</x:v>
      </x:c>
      <x:c r="AB9" s="48" t="n">
        <x:v>3</x:v>
      </x:c>
      <x:c r="AC9" s="48" t="n">
        <x:v>5</x:v>
      </x:c>
      <x:c r="AD9" s="48" t="n">
        <x:v>5</x:v>
      </x:c>
      <x:c r="AE9" s="48" t="n">
        <x:v>1</x:v>
      </x:c>
      <x:c r="AF9" s="48" t="n">
        <x:v>5</x:v>
      </x:c>
      <x:c r="AG9" s="48" t="n">
        <x:v>4</x:v>
      </x:c>
      <x:c r="AH9" s="48" t="n">
        <x:v>3</x:v>
      </x:c>
      <x:c r="AI9" s="48" t="n">
        <x:v>2</x:v>
      </x:c>
    </x:row>
    <x:row r="10">
      <x:c r="A10" s="44" t="str">
        <x:v>P06 — heeyun</x:v>
      </x:c>
      <x:c r="B10" s="48" t="n">
        <x:v>34</x:v>
      </x:c>
      <x:c r="C10" s="48" t="n">
        <x:v>3</x:v>
      </x:c>
      <x:c r="D10" s="48" t="n">
        <x:v>1</x:v>
      </x:c>
      <x:c r="E10" s="48" t="n">
        <x:v>3</x:v>
      </x:c>
      <x:c r="F10" s="48" t="n">
        <x:v>4</x:v>
      </x:c>
      <x:c r="G10" s="48" t="n">
        <x:v>3</x:v>
      </x:c>
      <x:c r="H10" s="48" t="n">
        <x:v>3</x:v>
      </x:c>
      <x:c r="I10" s="48" t="n">
        <x:v>1</x:v>
      </x:c>
      <x:c r="J10" s="48" t="n">
        <x:v>1</x:v>
      </x:c>
      <x:c r="K10" s="48" t="n">
        <x:v>1</x:v>
      </x:c>
      <x:c r="L10" s="48" t="n">
        <x:v>1</x:v>
      </x:c>
      <x:c r="M10" s="48" t="n">
        <x:v>4</x:v>
      </x:c>
      <x:c r="N10" s="48" t="n">
        <x:v>4</x:v>
      </x:c>
      <x:c r="O10" s="48" t="n">
        <x:v>2</x:v>
      </x:c>
      <x:c r="P10" s="48" t="n">
        <x:v>4</x:v>
      </x:c>
      <x:c r="Q10" s="48" t="n">
        <x:v>1</x:v>
      </x:c>
      <x:c r="R10" s="48" t="n">
        <x:v>1</x:v>
      </x:c>
      <x:c r="S10" s="48" t="n">
        <x:v>3</x:v>
      </x:c>
      <x:c r="T10" s="48" t="n">
        <x:v>2</x:v>
      </x:c>
      <x:c r="U10" s="48" t="n">
        <x:v>4</x:v>
      </x:c>
      <x:c r="V10" s="48" t="n">
        <x:v>3</x:v>
      </x:c>
      <x:c r="W10" s="48" t="n">
        <x:v>1</x:v>
      </x:c>
      <x:c r="X10" s="48" t="n">
        <x:v>4</x:v>
      </x:c>
      <x:c r="Y10" s="48" t="n">
        <x:v>4</x:v>
      </x:c>
      <x:c r="Z10" s="48" t="n">
        <x:v>2</x:v>
      </x:c>
      <x:c r="AA10" s="48" t="n">
        <x:v>1</x:v>
      </x:c>
      <x:c r="AB10" s="48" t="n">
        <x:v>4</x:v>
      </x:c>
      <x:c r="AC10" s="48" t="n">
        <x:v>4</x:v>
      </x:c>
      <x:c r="AD10" s="48" t="n">
        <x:v>3</x:v>
      </x:c>
      <x:c r="AE10" s="48" t="n">
        <x:v>3</x:v>
      </x:c>
      <x:c r="AF10" s="48" t="n">
        <x:v>4</x:v>
      </x:c>
      <x:c r="AG10" s="48" t="n">
        <x:v>2</x:v>
      </x:c>
      <x:c r="AH10" s="48" t="n">
        <x:v>1</x:v>
      </x:c>
      <x:c r="AI10" s="48" t="n">
        <x:v>1</x:v>
      </x:c>
    </x:row>
    <x:row r="11">
      <x:c r="A11" s="44" t="str">
        <x:v>P07 — yan</x:v>
      </x:c>
      <x:c r="B11" s="48" t="n">
        <x:v>22</x:v>
      </x:c>
      <x:c r="C11" s="48" t="n">
        <x:v>4</x:v>
      </x:c>
      <x:c r="D11" s="48" t="n">
        <x:v>3</x:v>
      </x:c>
      <x:c r="E11" s="48" t="n">
        <x:v>4</x:v>
      </x:c>
      <x:c r="F11" s="48" t="n">
        <x:v>4</x:v>
      </x:c>
      <x:c r="G11" s="48" t="n">
        <x:v>4</x:v>
      </x:c>
      <x:c r="H11" s="48" t="n">
        <x:v>4</x:v>
      </x:c>
      <x:c r="I11" s="48" t="n">
        <x:v>1</x:v>
      </x:c>
      <x:c r="J11" s="48" t="n">
        <x:v>4</x:v>
      </x:c>
      <x:c r="K11" s="48" t="n">
        <x:v>1</x:v>
      </x:c>
      <x:c r="L11" s="48" t="n">
        <x:v>3</x:v>
      </x:c>
      <x:c r="M11" s="48" t="n">
        <x:v>2</x:v>
      </x:c>
      <x:c r="N11" s="48" t="n">
        <x:v>2</x:v>
      </x:c>
      <x:c r="O11" s="48" t="n">
        <x:v>4</x:v>
      </x:c>
      <x:c r="P11" s="48" t="n">
        <x:v>4</x:v>
      </x:c>
      <x:c r="Q11" s="48" t="n">
        <x:v>3</x:v>
      </x:c>
      <x:c r="R11" s="48" t="n">
        <x:v>1</x:v>
      </x:c>
      <x:c r="S11" s="48" t="n">
        <x:v>3</x:v>
      </x:c>
      <x:c r="T11" s="48" t="n">
        <x:v>3</x:v>
      </x:c>
      <x:c r="U11" s="48" t="n">
        <x:v>3</x:v>
      </x:c>
      <x:c r="V11" s="48" t="n">
        <x:v>4</x:v>
      </x:c>
      <x:c r="W11" s="48" t="n">
        <x:v>1</x:v>
      </x:c>
      <x:c r="X11" s="48" t="n">
        <x:v>1</x:v>
      </x:c>
      <x:c r="Y11" s="48" t="n">
        <x:v>1</x:v>
      </x:c>
      <x:c r="Z11" s="48" t="n">
        <x:v>1</x:v>
      </x:c>
      <x:c r="AA11" s="48" t="n">
        <x:v>1</x:v>
      </x:c>
      <x:c r="AB11" s="48" t="n">
        <x:v>3</x:v>
      </x:c>
      <x:c r="AC11" s="48" t="n">
        <x:v>4</x:v>
      </x:c>
      <x:c r="AD11" s="48" t="n">
        <x:v>4</x:v>
      </x:c>
      <x:c r="AE11" s="48" t="n">
        <x:v>1</x:v>
      </x:c>
      <x:c r="AF11" s="48" t="n">
        <x:v>4</x:v>
      </x:c>
      <x:c r="AG11" s="48" t="n">
        <x:v>3</x:v>
      </x:c>
      <x:c r="AH11" s="48" t="n">
        <x:v>1</x:v>
      </x:c>
      <x:c r="AI11" s="48" t="n">
        <x:v>1</x:v>
      </x:c>
    </x:row>
    <x:row r="12">
      <x:c r="A12" s="44" t="str">
        <x:v>P08 — Dragon</x:v>
      </x:c>
      <x:c r="B12" s="48" t="n">
        <x:v>24</x:v>
      </x:c>
      <x:c r="C12" s="48" t="n">
        <x:v>5</x:v>
      </x:c>
      <x:c r="D12" s="48" t="n">
        <x:v>5</x:v>
      </x:c>
      <x:c r="E12" s="48" t="n">
        <x:v>5</x:v>
      </x:c>
      <x:c r="F12" s="48" t="n">
        <x:v>5</x:v>
      </x:c>
      <x:c r="G12" s="48" t="n">
        <x:v>3</x:v>
      </x:c>
      <x:c r="H12" s="48" t="n">
        <x:v>5</x:v>
      </x:c>
      <x:c r="I12" s="48" t="n">
        <x:v>1</x:v>
      </x:c>
      <x:c r="J12" s="48" t="n">
        <x:v>2</x:v>
      </x:c>
      <x:c r="K12" s="48" t="n">
        <x:v>2</x:v>
      </x:c>
      <x:c r="L12" s="48" t="n">
        <x:v>5</x:v>
      </x:c>
      <x:c r="M12" s="48" t="n">
        <x:v>2</x:v>
      </x:c>
      <x:c r="N12" s="48" t="n">
        <x:v>5</x:v>
      </x:c>
      <x:c r="O12" s="48" t="n">
        <x:v>4</x:v>
      </x:c>
      <x:c r="P12" s="48" t="n">
        <x:v>5</x:v>
      </x:c>
      <x:c r="Q12" s="48" t="n">
        <x:v>5</x:v>
      </x:c>
      <x:c r="R12" s="48" t="n">
        <x:v>2</x:v>
      </x:c>
      <x:c r="S12" s="48" t="n">
        <x:v>4</x:v>
      </x:c>
      <x:c r="T12" s="48" t="n">
        <x:v>4</x:v>
      </x:c>
      <x:c r="U12" s="48" t="n">
        <x:v>4</x:v>
      </x:c>
      <x:c r="V12" s="48" t="n">
        <x:v>4</x:v>
      </x:c>
      <x:c r="W12" s="48" t="n">
        <x:v>4</x:v>
      </x:c>
      <x:c r="X12" s="48" t="n">
        <x:v>2</x:v>
      </x:c>
      <x:c r="Y12" s="48" t="n">
        <x:v>2</x:v>
      </x:c>
      <x:c r="Z12" s="48" t="n">
        <x:v>2</x:v>
      </x:c>
      <x:c r="AA12" s="48" t="n">
        <x:v>3</x:v>
      </x:c>
      <x:c r="AB12" s="48" t="n">
        <x:v>2</x:v>
      </x:c>
      <x:c r="AC12" s="48" t="n">
        <x:v>4</x:v>
      </x:c>
      <x:c r="AD12" s="48" t="n">
        <x:v>4</x:v>
      </x:c>
      <x:c r="AE12" s="48" t="n">
        <x:v>2</x:v>
      </x:c>
      <x:c r="AF12" s="48" t="n">
        <x:v>5</x:v>
      </x:c>
      <x:c r="AG12" s="48" t="n">
        <x:v>2</x:v>
      </x:c>
      <x:c r="AH12" s="48" t="n">
        <x:v>4</x:v>
      </x:c>
      <x:c r="AI12" s="48" t="n">
        <x:v>3</x:v>
      </x:c>
    </x:row>
    <x:row r="13">
      <x:c r="A13" s="44" t="str">
        <x:v>P09 — Miller</x:v>
      </x:c>
      <x:c r="B13" s="48" t="n">
        <x:v>26</x:v>
      </x:c>
      <x:c r="C13" s="48" t="n">
        <x:v>5</x:v>
      </x:c>
      <x:c r="D13" s="48" t="n">
        <x:v>5</x:v>
      </x:c>
      <x:c r="E13" s="48" t="n">
        <x:v>5</x:v>
      </x:c>
      <x:c r="F13" s="48" t="n">
        <x:v>5</x:v>
      </x:c>
      <x:c r="G13" s="48" t="n">
        <x:v>5</x:v>
      </x:c>
      <x:c r="H13" s="48" t="n">
        <x:v>5</x:v>
      </x:c>
      <x:c r="I13" s="48" t="n">
        <x:v>1</x:v>
      </x:c>
      <x:c r="J13" s="48" t="n">
        <x:v>1</x:v>
      </x:c>
      <x:c r="K13" s="48" t="n">
        <x:v>1</x:v>
      </x:c>
      <x:c r="L13" s="48" t="n">
        <x:v>5</x:v>
      </x:c>
      <x:c r="M13" s="48" t="n">
        <x:v>2</x:v>
      </x:c>
      <x:c r="N13" s="48" t="n">
        <x:v>5</x:v>
      </x:c>
      <x:c r="O13" s="48" t="n">
        <x:v>5</x:v>
      </x:c>
      <x:c r="P13" s="48" t="n">
        <x:v>5</x:v>
      </x:c>
      <x:c r="Q13" s="48" t="n">
        <x:v>5</x:v>
      </x:c>
      <x:c r="R13" s="48" t="n">
        <x:v>2</x:v>
      </x:c>
      <x:c r="S13" s="48" t="n">
        <x:v>4</x:v>
      </x:c>
      <x:c r="T13" s="48" t="n">
        <x:v>4</x:v>
      </x:c>
      <x:c r="U13" s="48" t="n">
        <x:v>5</x:v>
      </x:c>
      <x:c r="V13" s="48" t="n">
        <x:v>5</x:v>
      </x:c>
      <x:c r="W13" s="48" t="n">
        <x:v>5</x:v>
      </x:c>
      <x:c r="X13" s="48" t="n">
        <x:v>2</x:v>
      </x:c>
      <x:c r="Y13" s="48" t="n">
        <x:v>1</x:v>
      </x:c>
      <x:c r="Z13" s="48" t="n">
        <x:v>1</x:v>
      </x:c>
      <x:c r="AA13" s="48" t="n">
        <x:v>4</x:v>
      </x:c>
      <x:c r="AB13" s="48" t="n">
        <x:v>4</x:v>
      </x:c>
      <x:c r="AC13" s="48" t="n">
        <x:v>4</x:v>
      </x:c>
      <x:c r="AD13" s="48" t="n">
        <x:v>4</x:v>
      </x:c>
      <x:c r="AE13" s="48" t="n">
        <x:v>1</x:v>
      </x:c>
      <x:c r="AF13" s="48" t="n">
        <x:v>5</x:v>
      </x:c>
      <x:c r="AG13" s="48" t="n">
        <x:v>2</x:v>
      </x:c>
      <x:c r="AH13" s="48" t="n">
        <x:v>3</x:v>
      </x:c>
      <x:c r="AI13" s="48" t="n">
        <x:v>5</x:v>
      </x:c>
    </x:row>
    <x:row r="14">
      <x:c r="A14" s="44" t="str">
        <x:v>P10 — Beate</x:v>
      </x:c>
      <x:c r="B14" s="48" t="n">
        <x:v>56</x:v>
      </x:c>
      <x:c r="C14" s="48" t="n">
        <x:v>4</x:v>
      </x:c>
      <x:c r="D14" s="48" t="n">
        <x:v>3</x:v>
      </x:c>
      <x:c r="E14" s="48" t="n">
        <x:v>5</x:v>
      </x:c>
      <x:c r="F14" s="48" t="n">
        <x:v>5</x:v>
      </x:c>
      <x:c r="G14" s="48" t="n">
        <x:v>5</x:v>
      </x:c>
      <x:c r="H14" s="48" t="n">
        <x:v>3</x:v>
      </x:c>
      <x:c r="I14" s="48" t="n">
        <x:v>1</x:v>
      </x:c>
      <x:c r="J14" s="48" t="n">
        <x:v>1</x:v>
      </x:c>
      <x:c r="K14" s="48" t="n">
        <x:v>4</x:v>
      </x:c>
      <x:c r="L14" s="48" t="n">
        <x:v>3</x:v>
      </x:c>
      <x:c r="M14" s="48" t="n">
        <x:v>3</x:v>
      </x:c>
      <x:c r="N14" s="48" t="n">
        <x:v>4</x:v>
      </x:c>
      <x:c r="O14" s="48" t="n">
        <x:v>3</x:v>
      </x:c>
      <x:c r="P14" s="48" t="n">
        <x:v>3</x:v>
      </x:c>
      <x:c r="Q14" s="48" t="n">
        <x:v>2</x:v>
      </x:c>
      <x:c r="R14" s="48" t="n">
        <x:v>2</x:v>
      </x:c>
      <x:c r="S14" s="48" t="n">
        <x:v>2</x:v>
      </x:c>
      <x:c r="T14" s="48" t="n">
        <x:v>2</x:v>
      </x:c>
      <x:c r="U14" s="48" t="n">
        <x:v>4</x:v>
      </x:c>
      <x:c r="V14" s="48" t="n">
        <x:v>4</x:v>
      </x:c>
      <x:c r="W14" s="48" t="n">
        <x:v>5</x:v>
      </x:c>
      <x:c r="X14" s="48" t="n">
        <x:v>1</x:v>
      </x:c>
      <x:c r="Y14" s="48" t="n">
        <x:v>1</x:v>
      </x:c>
      <x:c r="Z14" s="48" t="n">
        <x:v>1</x:v>
      </x:c>
      <x:c r="AA14" s="48" t="n">
        <x:v>3</x:v>
      </x:c>
      <x:c r="AB14" s="48" t="n">
        <x:v>5</x:v>
      </x:c>
      <x:c r="AC14" s="48" t="n">
        <x:v>4</x:v>
      </x:c>
      <x:c r="AD14" s="48" t="n">
        <x:v>5</x:v>
      </x:c>
      <x:c r="AE14" s="48" t="n">
        <x:v>1</x:v>
      </x:c>
      <x:c r="AF14" s="48" t="n">
        <x:v>2</x:v>
      </x:c>
      <x:c r="AG14" s="48" t="n">
        <x:v>3</x:v>
      </x:c>
      <x:c r="AH14" s="48" t="n">
        <x:v>2</x:v>
      </x:c>
      <x:c r="AI14" s="48" t="n">
        <x:v>5</x:v>
      </x:c>
    </x:row>
    <x:row r="15">
      <x:c r="A15" s="44" t="str">
        <x:v>P11 — Franzi</x:v>
      </x:c>
      <x:c r="B15" s="48" t="n">
        <x:v>26</x:v>
      </x:c>
      <x:c r="C15" s="48" t="n">
        <x:v>3</x:v>
      </x:c>
      <x:c r="D15" s="48" t="n">
        <x:v>1</x:v>
      </x:c>
      <x:c r="E15" s="48" t="n">
        <x:v>4</x:v>
      </x:c>
      <x:c r="F15" s="48" t="n">
        <x:v>4</x:v>
      </x:c>
      <x:c r="G15" s="48" t="n">
        <x:v>5</x:v>
      </x:c>
      <x:c r="H15" s="48" t="n">
        <x:v>3</x:v>
      </x:c>
      <x:c r="I15" s="48" t="n">
        <x:v>1</x:v>
      </x:c>
      <x:c r="J15" s="48" t="n">
        <x:v>1</x:v>
      </x:c>
      <x:c r="K15" s="48" t="n">
        <x:v>1</x:v>
      </x:c>
      <x:c r="L15" s="48" t="n">
        <x:v>1</x:v>
      </x:c>
      <x:c r="M15" s="48" t="n">
        <x:v>4</x:v>
      </x:c>
      <x:c r="N15" s="48" t="n">
        <x:v>5</x:v>
      </x:c>
      <x:c r="O15" s="48" t="n">
        <x:v>1</x:v>
      </x:c>
      <x:c r="P15" s="48" t="n">
        <x:v>3</x:v>
      </x:c>
      <x:c r="Q15" s="48" t="n">
        <x:v>2</x:v>
      </x:c>
      <x:c r="R15" s="48" t="n">
        <x:v>1</x:v>
      </x:c>
      <x:c r="S15" s="48" t="n">
        <x:v>1</x:v>
      </x:c>
      <x:c r="T15" s="48" t="n">
        <x:v>1</x:v>
      </x:c>
      <x:c r="U15" s="48" t="n">
        <x:v>1</x:v>
      </x:c>
      <x:c r="V15" s="48" t="n">
        <x:v>4</x:v>
      </x:c>
      <x:c r="W15" s="48" t="n">
        <x:v>1</x:v>
      </x:c>
      <x:c r="X15" s="48" t="n">
        <x:v>1</x:v>
      </x:c>
      <x:c r="Y15" s="48" t="n">
        <x:v>2</x:v>
      </x:c>
      <x:c r="Z15" s="48" t="n">
        <x:v>2</x:v>
      </x:c>
      <x:c r="AA15" s="48" t="n">
        <x:v>1</x:v>
      </x:c>
      <x:c r="AB15" s="48" t="n">
        <x:v>3</x:v>
      </x:c>
      <x:c r="AC15" s="48" t="n">
        <x:v>5</x:v>
      </x:c>
      <x:c r="AD15" s="48" t="n">
        <x:v>5</x:v>
      </x:c>
      <x:c r="AE15" s="48" t="n">
        <x:v>1</x:v>
      </x:c>
      <x:c r="AF15" s="48" t="n">
        <x:v>4</x:v>
      </x:c>
      <x:c r="AG15" s="48" t="n">
        <x:v>1</x:v>
      </x:c>
      <x:c r="AH15" s="48" t="n">
        <x:v>1</x:v>
      </x:c>
      <x:c r="AI15" s="48" t="n">
        <x:v>5</x:v>
      </x:c>
    </x:row>
    <x:row r="16">
      <x:c r="A16" s="44" t="str">
        <x:v>P12 — Cindy</x:v>
      </x:c>
      <x:c r="B16" s="48" t="n">
        <x:v>28</x:v>
      </x:c>
      <x:c r="C16" s="48" t="n">
        <x:v>4</x:v>
      </x:c>
      <x:c r="D16" s="48" t="n">
        <x:v>4</x:v>
      </x:c>
      <x:c r="E16" s="48" t="n">
        <x:v>3</x:v>
      </x:c>
      <x:c r="F16" s="48" t="n">
        <x:v>4</x:v>
      </x:c>
      <x:c r="G16" s="48" t="n">
        <x:v>5</x:v>
      </x:c>
      <x:c r="H16" s="48" t="n">
        <x:v>4</x:v>
      </x:c>
      <x:c r="I16" s="48" t="n">
        <x:v>1</x:v>
      </x:c>
      <x:c r="J16" s="48" t="n">
        <x:v>2</x:v>
      </x:c>
      <x:c r="K16" s="48" t="n">
        <x:v>2</x:v>
      </x:c>
      <x:c r="L16" s="48" t="n">
        <x:v>4</x:v>
      </x:c>
      <x:c r="M16" s="48" t="n">
        <x:v>1</x:v>
      </x:c>
      <x:c r="N16" s="48" t="n">
        <x:v>4</x:v>
      </x:c>
      <x:c r="O16" s="48" t="n">
        <x:v>4</x:v>
      </x:c>
      <x:c r="P16" s="48" t="n">
        <x:v>4</x:v>
      </x:c>
      <x:c r="Q16" s="48" t="n">
        <x:v>4</x:v>
      </x:c>
      <x:c r="R16" s="48" t="n">
        <x:v>2</x:v>
      </x:c>
      <x:c r="S16" s="48" t="n">
        <x:v>4</x:v>
      </x:c>
      <x:c r="T16" s="48" t="n">
        <x:v>4</x:v>
      </x:c>
      <x:c r="U16" s="48" t="n">
        <x:v>5</x:v>
      </x:c>
      <x:c r="V16" s="48" t="n">
        <x:v>4</x:v>
      </x:c>
      <x:c r="W16" s="48" t="n">
        <x:v>4</x:v>
      </x:c>
      <x:c r="X16" s="48" t="n">
        <x:v>2</x:v>
      </x:c>
      <x:c r="Y16" s="48" t="n">
        <x:v>2</x:v>
      </x:c>
      <x:c r="Z16" s="48" t="n">
        <x:v>2</x:v>
      </x:c>
      <x:c r="AA16" s="48" t="n">
        <x:v>2</x:v>
      </x:c>
      <x:c r="AB16" s="48" t="n">
        <x:v>3</x:v>
      </x:c>
      <x:c r="AC16" s="48" t="n">
        <x:v>4</x:v>
      </x:c>
      <x:c r="AD16" s="48" t="n">
        <x:v>4</x:v>
      </x:c>
      <x:c r="AE16" s="48" t="n">
        <x:v>1</x:v>
      </x:c>
      <x:c r="AF16" s="48" t="n">
        <x:v>4</x:v>
      </x:c>
      <x:c r="AG16" s="48" t="n">
        <x:v>2</x:v>
      </x:c>
      <x:c r="AH16" s="48" t="n">
        <x:v>4</x:v>
      </x:c>
      <x:c r="AI16" s="48" t="n">
        <x:v>4</x:v>
      </x:c>
    </x:row>
    <x:row r="17">
      <x:c r="A17" s="44" t="str">
        <x:v>P13 — Hanna</x:v>
      </x:c>
      <x:c r="B17" s="48" t="n">
        <x:v>22</x:v>
      </x:c>
      <x:c r="C17" s="48" t="n">
        <x:v>4</x:v>
      </x:c>
      <x:c r="D17" s="48" t="n">
        <x:v>4</x:v>
      </x:c>
      <x:c r="E17" s="48" t="n">
        <x:v>4</x:v>
      </x:c>
      <x:c r="F17" s="48" t="n">
        <x:v>4</x:v>
      </x:c>
      <x:c r="G17" s="48" t="n">
        <x:v>4</x:v>
      </x:c>
      <x:c r="H17" s="48" t="n">
        <x:v>4</x:v>
      </x:c>
      <x:c r="I17" s="48" t="n">
        <x:v>1</x:v>
      </x:c>
      <x:c r="J17" s="48" t="n">
        <x:v>1</x:v>
      </x:c>
      <x:c r="K17" s="48" t="n">
        <x:v>1</x:v>
      </x:c>
      <x:c r="L17" s="48" t="n">
        <x:v>4</x:v>
      </x:c>
      <x:c r="M17" s="48" t="n">
        <x:v>1</x:v>
      </x:c>
      <x:c r="N17" s="48" t="n">
        <x:v>3</x:v>
      </x:c>
      <x:c r="O17" s="48" t="n">
        <x:v>3</x:v>
      </x:c>
      <x:c r="P17" s="48" t="n">
        <x:v>4</x:v>
      </x:c>
      <x:c r="Q17" s="48" t="n">
        <x:v>4</x:v>
      </x:c>
      <x:c r="R17" s="48" t="n">
        <x:v>1</x:v>
      </x:c>
      <x:c r="S17" s="48" t="n">
        <x:v>4</x:v>
      </x:c>
      <x:c r="T17" s="48" t="n">
        <x:v>4</x:v>
      </x:c>
      <x:c r="U17" s="48" t="n">
        <x:v>4</x:v>
      </x:c>
      <x:c r="V17" s="48" t="n">
        <x:v>4</x:v>
      </x:c>
      <x:c r="W17" s="48" t="n">
        <x:v>4</x:v>
      </x:c>
      <x:c r="X17" s="48" t="n">
        <x:v>2</x:v>
      </x:c>
      <x:c r="Y17" s="48" t="n">
        <x:v>1</x:v>
      </x:c>
      <x:c r="Z17" s="48" t="n">
        <x:v>1</x:v>
      </x:c>
      <x:c r="AA17" s="48" t="n">
        <x:v>3</x:v>
      </x:c>
      <x:c r="AB17" s="48" t="n">
        <x:v>2</x:v>
      </x:c>
      <x:c r="AC17" s="48" t="n">
        <x:v>4</x:v>
      </x:c>
      <x:c r="AD17" s="48" t="n">
        <x:v>4</x:v>
      </x:c>
      <x:c r="AE17" s="48" t="n">
        <x:v>1</x:v>
      </x:c>
      <x:c r="AF17" s="48" t="n">
        <x:v>5</x:v>
      </x:c>
      <x:c r="AG17" s="48" t="n">
        <x:v>5</x:v>
      </x:c>
      <x:c r="AH17" s="48" t="n">
        <x:v>5</x:v>
      </x:c>
      <x:c r="AI17" s="48" t="n">
        <x:v>4</x:v>
      </x:c>
    </x:row>
    <x:row r="18">
      <x:c r="A18" s="44" t="str">
        <x:v>P14 — Claire</x:v>
      </x:c>
      <x:c r="B18" s="48" t="n">
        <x:v>26</x:v>
      </x:c>
      <x:c r="C18" s="48" t="n">
        <x:v>5</x:v>
      </x:c>
      <x:c r="D18" s="48" t="n">
        <x:v>5</x:v>
      </x:c>
      <x:c r="E18" s="48" t="n">
        <x:v>5</x:v>
      </x:c>
      <x:c r="F18" s="48" t="n">
        <x:v>4</x:v>
      </x:c>
      <x:c r="G18" s="48" t="n">
        <x:v>4</x:v>
      </x:c>
      <x:c r="H18" s="48" t="n">
        <x:v>4</x:v>
      </x:c>
      <x:c r="I18" s="48" t="n">
        <x:v>1</x:v>
      </x:c>
      <x:c r="J18" s="48" t="n">
        <x:v>1</x:v>
      </x:c>
      <x:c r="K18" s="48" t="n">
        <x:v>1</x:v>
      </x:c>
      <x:c r="L18" s="48" t="n">
        <x:v>5</x:v>
      </x:c>
      <x:c r="M18" s="48" t="n">
        <x:v>1</x:v>
      </x:c>
      <x:c r="N18" s="48" t="n">
        <x:v>4</x:v>
      </x:c>
      <x:c r="O18" s="48" t="n">
        <x:v>2</x:v>
      </x:c>
      <x:c r="P18" s="48" t="n">
        <x:v>4</x:v>
      </x:c>
      <x:c r="Q18" s="48" t="n">
        <x:v>4</x:v>
      </x:c>
      <x:c r="R18" s="48" t="n">
        <x:v>1</x:v>
      </x:c>
      <x:c r="S18" s="48" t="n">
        <x:v>4</x:v>
      </x:c>
      <x:c r="T18" s="48" t="n">
        <x:v>4</x:v>
      </x:c>
      <x:c r="U18" s="48" t="n">
        <x:v>4</x:v>
      </x:c>
      <x:c r="V18" s="48" t="n">
        <x:v>4</x:v>
      </x:c>
      <x:c r="W18" s="48" t="n">
        <x:v>4</x:v>
      </x:c>
      <x:c r="X18" s="48" t="n">
        <x:v>2</x:v>
      </x:c>
      <x:c r="Y18" s="48" t="n">
        <x:v>2</x:v>
      </x:c>
      <x:c r="Z18" s="48" t="n">
        <x:v>2</x:v>
      </x:c>
      <x:c r="AA18" s="48" t="n">
        <x:v>3</x:v>
      </x:c>
      <x:c r="AB18" s="48" t="n">
        <x:v>2</x:v>
      </x:c>
      <x:c r="AC18" s="48" t="n">
        <x:v>5</x:v>
      </x:c>
      <x:c r="AD18" s="48" t="n">
        <x:v>5</x:v>
      </x:c>
      <x:c r="AE18" s="48" t="n">
        <x:v>1</x:v>
      </x:c>
      <x:c r="AF18" s="48" t="n">
        <x:v>4</x:v>
      </x:c>
      <x:c r="AG18" s="48" t="n">
        <x:v>2</x:v>
      </x:c>
      <x:c r="AH18" s="48" t="n">
        <x:v>4</x:v>
      </x:c>
      <x:c r="AI18" s="48" t="n">
        <x:v>4</x:v>
      </x:c>
    </x:row>
    <x:row r="19">
      <x:c r="A19" s="44" t="str">
        <x:v>P15 — Martina</x:v>
      </x:c>
      <x:c r="B19" s="48"/>
      <x:c r="C19" s="48" t="n">
        <x:v>4</x:v>
      </x:c>
      <x:c r="D19" s="48" t="n">
        <x:v>3</x:v>
      </x:c>
      <x:c r="E19" s="48" t="n">
        <x:v>4</x:v>
      </x:c>
      <x:c r="F19" s="48" t="n">
        <x:v>4</x:v>
      </x:c>
      <x:c r="G19" s="48" t="n">
        <x:v>4</x:v>
      </x:c>
      <x:c r="H19" s="48" t="n">
        <x:v>3</x:v>
      </x:c>
      <x:c r="I19" s="48" t="n">
        <x:v>1</x:v>
      </x:c>
      <x:c r="J19" s="48" t="n">
        <x:v>1</x:v>
      </x:c>
      <x:c r="K19" s="48" t="n">
        <x:v>1</x:v>
      </x:c>
      <x:c r="L19" s="48" t="n">
        <x:v>3</x:v>
      </x:c>
      <x:c r="M19" s="48" t="n">
        <x:v>1</x:v>
      </x:c>
      <x:c r="N19" s="48" t="n">
        <x:v>3</x:v>
      </x:c>
      <x:c r="O19" s="48" t="n">
        <x:v>2</x:v>
      </x:c>
      <x:c r="P19" s="48" t="n">
        <x:v>4</x:v>
      </x:c>
      <x:c r="Q19" s="48" t="n">
        <x:v>3</x:v>
      </x:c>
      <x:c r="R19" s="48" t="n">
        <x:v>1</x:v>
      </x:c>
      <x:c r="S19" s="48" t="n">
        <x:v>3</x:v>
      </x:c>
      <x:c r="T19" s="48" t="n">
        <x:v>4</x:v>
      </x:c>
      <x:c r="U19" s="48" t="n">
        <x:v>3</x:v>
      </x:c>
      <x:c r="V19" s="48" t="n">
        <x:v>4</x:v>
      </x:c>
      <x:c r="W19" s="48" t="n">
        <x:v>3</x:v>
      </x:c>
      <x:c r="X19" s="48" t="n">
        <x:v>1</x:v>
      </x:c>
      <x:c r="Y19" s="48" t="n">
        <x:v>1</x:v>
      </x:c>
      <x:c r="Z19" s="48" t="n">
        <x:v>1</x:v>
      </x:c>
      <x:c r="AA19" s="48" t="n">
        <x:v>1</x:v>
      </x:c>
      <x:c r="AB19" s="48" t="n">
        <x:v>2</x:v>
      </x:c>
      <x:c r="AC19" s="48" t="n">
        <x:v>3</x:v>
      </x:c>
      <x:c r="AD19" s="48" t="n">
        <x:v>3</x:v>
      </x:c>
      <x:c r="AE19" s="48" t="n">
        <x:v>1</x:v>
      </x:c>
      <x:c r="AF19" s="48" t="n">
        <x:v>2</x:v>
      </x:c>
      <x:c r="AG19" s="48" t="n">
        <x:v>1</x:v>
      </x:c>
      <x:c r="AH19" s="48" t="n">
        <x:v>1</x:v>
      </x:c>
      <x:c r="AI19" s="48" t="n">
        <x:v>2</x:v>
      </x:c>
    </x:row>
    <x:row r="20">
      <x:c r="A20" s="44" t="str">
        <x:v>P16 — SebastianH</x:v>
      </x:c>
      <x:c r="B20" s="48" t="n">
        <x:v>31</x:v>
      </x:c>
      <x:c r="C20" s="48" t="n">
        <x:v>4</x:v>
      </x:c>
      <x:c r="D20" s="48" t="n">
        <x:v>4</x:v>
      </x:c>
      <x:c r="E20" s="48" t="n">
        <x:v>5</x:v>
      </x:c>
      <x:c r="F20" s="48" t="n">
        <x:v>4</x:v>
      </x:c>
      <x:c r="G20" s="48" t="n">
        <x:v>4</x:v>
      </x:c>
      <x:c r="H20" s="48" t="n">
        <x:v>4</x:v>
      </x:c>
      <x:c r="I20" s="48" t="n">
        <x:v>1</x:v>
      </x:c>
      <x:c r="J20" s="48" t="n">
        <x:v>1</x:v>
      </x:c>
      <x:c r="K20" s="48" t="n">
        <x:v>1</x:v>
      </x:c>
      <x:c r="L20" s="48" t="n">
        <x:v>4</x:v>
      </x:c>
      <x:c r="M20" s="48" t="n">
        <x:v>4</x:v>
      </x:c>
      <x:c r="N20" s="48" t="n">
        <x:v>4</x:v>
      </x:c>
      <x:c r="O20" s="48" t="n">
        <x:v>3</x:v>
      </x:c>
      <x:c r="P20" s="48" t="n">
        <x:v>4</x:v>
      </x:c>
      <x:c r="Q20" s="48" t="n">
        <x:v>3</x:v>
      </x:c>
      <x:c r="R20" s="48" t="n">
        <x:v>1</x:v>
      </x:c>
      <x:c r="S20" s="48" t="n">
        <x:v>4</x:v>
      </x:c>
      <x:c r="T20" s="48" t="n">
        <x:v>4</x:v>
      </x:c>
      <x:c r="U20" s="48" t="n">
        <x:v>4</x:v>
      </x:c>
      <x:c r="V20" s="48" t="n">
        <x:v>4</x:v>
      </x:c>
      <x:c r="W20" s="48" t="n">
        <x:v>3</x:v>
      </x:c>
      <x:c r="X20" s="48" t="n">
        <x:v>1</x:v>
      </x:c>
      <x:c r="Y20" s="48" t="n">
        <x:v>3</x:v>
      </x:c>
      <x:c r="Z20" s="48" t="n">
        <x:v>2</x:v>
      </x:c>
      <x:c r="AA20" s="48" t="n">
        <x:v>3</x:v>
      </x:c>
      <x:c r="AB20" s="48" t="n">
        <x:v>4</x:v>
      </x:c>
      <x:c r="AC20" s="48" t="n">
        <x:v>4</x:v>
      </x:c>
      <x:c r="AD20" s="48" t="n">
        <x:v>3</x:v>
      </x:c>
      <x:c r="AE20" s="48" t="n">
        <x:v>2</x:v>
      </x:c>
      <x:c r="AF20" s="48" t="n">
        <x:v>3</x:v>
      </x:c>
      <x:c r="AG20" s="48" t="n">
        <x:v>3</x:v>
      </x:c>
      <x:c r="AH20" s="48" t="n">
        <x:v>4</x:v>
      </x:c>
      <x:c r="AI20" s="48" t="n">
        <x:v>3</x:v>
      </x:c>
    </x:row>
    <x:row r="21">
      <x:c r="A21" s="44" t="str">
        <x:v>P17 — Domi</x:v>
      </x:c>
      <x:c r="B21" s="48" t="n">
        <x:v>33</x:v>
      </x:c>
      <x:c r="C21" s="48" t="n">
        <x:v>3</x:v>
      </x:c>
      <x:c r="D21" s="48" t="n">
        <x:v>1</x:v>
      </x:c>
      <x:c r="E21" s="48" t="n">
        <x:v>4</x:v>
      </x:c>
      <x:c r="F21" s="48" t="n">
        <x:v>4</x:v>
      </x:c>
      <x:c r="G21" s="48" t="n">
        <x:v>5</x:v>
      </x:c>
      <x:c r="H21" s="48" t="n">
        <x:v>3</x:v>
      </x:c>
      <x:c r="I21" s="48" t="n">
        <x:v>1</x:v>
      </x:c>
      <x:c r="J21" s="48" t="n">
        <x:v>1</x:v>
      </x:c>
      <x:c r="K21" s="48" t="n">
        <x:v>1</x:v>
      </x:c>
      <x:c r="L21" s="48" t="n">
        <x:v>3</x:v>
      </x:c>
      <x:c r="M21" s="48" t="n">
        <x:v>2</x:v>
      </x:c>
      <x:c r="N21" s="48" t="n">
        <x:v>4</x:v>
      </x:c>
      <x:c r="O21" s="48" t="n">
        <x:v>5</x:v>
      </x:c>
      <x:c r="P21" s="48" t="n">
        <x:v>3</x:v>
      </x:c>
      <x:c r="Q21" s="48" t="n">
        <x:v>3</x:v>
      </x:c>
      <x:c r="R21" s="48" t="n">
        <x:v>1</x:v>
      </x:c>
      <x:c r="S21" s="48" t="n">
        <x:v>4</x:v>
      </x:c>
      <x:c r="T21" s="48" t="n">
        <x:v>2</x:v>
      </x:c>
      <x:c r="U21" s="48" t="n">
        <x:v>2</x:v>
      </x:c>
      <x:c r="V21" s="48" t="n">
        <x:v>4</x:v>
      </x:c>
      <x:c r="W21" s="48" t="n">
        <x:v>2</x:v>
      </x:c>
      <x:c r="X21" s="48" t="n">
        <x:v>1</x:v>
      </x:c>
      <x:c r="Y21" s="48" t="n">
        <x:v>4</x:v>
      </x:c>
      <x:c r="Z21" s="48" t="n">
        <x:v>4</x:v>
      </x:c>
      <x:c r="AA21" s="48" t="n">
        <x:v>5</x:v>
      </x:c>
      <x:c r="AB21" s="48" t="n">
        <x:v>3</x:v>
      </x:c>
      <x:c r="AC21" s="48" t="n">
        <x:v>2</x:v>
      </x:c>
      <x:c r="AD21" s="48" t="n">
        <x:v>5</x:v>
      </x:c>
      <x:c r="AE21" s="48" t="n">
        <x:v>1</x:v>
      </x:c>
      <x:c r="AF21" s="48" t="n">
        <x:v>4</x:v>
      </x:c>
      <x:c r="AG21" s="48" t="n">
        <x:v>4</x:v>
      </x:c>
      <x:c r="AH21" s="48" t="n">
        <x:v>5</x:v>
      </x:c>
      <x:c r="AI21" s="48" t="n">
        <x:v>4</x:v>
      </x:c>
    </x:row>
    <x:row r="22">
      <x:c r="A22" s="44" t="str">
        <x:v>P18 — Michael</x:v>
      </x:c>
      <x:c r="B22" s="48" t="n">
        <x:v>61</x:v>
      </x:c>
      <x:c r="C22" s="48" t="n">
        <x:v>2</x:v>
      </x:c>
      <x:c r="D22" s="48" t="n">
        <x:v>2</x:v>
      </x:c>
      <x:c r="E22" s="48" t="n">
        <x:v>3</x:v>
      </x:c>
      <x:c r="F22" s="48" t="n">
        <x:v>3</x:v>
      </x:c>
      <x:c r="G22" s="48" t="n">
        <x:v>2</x:v>
      </x:c>
      <x:c r="H22" s="48" t="n">
        <x:v>1</x:v>
      </x:c>
      <x:c r="I22" s="48" t="n">
        <x:v>3</x:v>
      </x:c>
      <x:c r="J22" s="48" t="n">
        <x:v>3</x:v>
      </x:c>
      <x:c r="K22" s="48" t="n">
        <x:v>3</x:v>
      </x:c>
      <x:c r="L22" s="48" t="n">
        <x:v>1</x:v>
      </x:c>
      <x:c r="M22" s="48" t="n">
        <x:v>2</x:v>
      </x:c>
      <x:c r="N22" s="48" t="n">
        <x:v>3</x:v>
      </x:c>
      <x:c r="O22" s="48" t="n">
        <x:v>3</x:v>
      </x:c>
      <x:c r="P22" s="48" t="n">
        <x:v>3</x:v>
      </x:c>
      <x:c r="Q22" s="48" t="n">
        <x:v>2</x:v>
      </x:c>
      <x:c r="R22" s="48" t="n">
        <x:v>4</x:v>
      </x:c>
      <x:c r="S22" s="48" t="n">
        <x:v>3</x:v>
      </x:c>
      <x:c r="T22" s="48" t="n">
        <x:v>3</x:v>
      </x:c>
      <x:c r="U22" s="48" t="n">
        <x:v>1</x:v>
      </x:c>
      <x:c r="V22" s="48" t="n">
        <x:v>2</x:v>
      </x:c>
      <x:c r="W22" s="48" t="n">
        <x:v>2</x:v>
      </x:c>
      <x:c r="X22" s="48" t="n">
        <x:v>2</x:v>
      </x:c>
      <x:c r="Y22" s="48" t="n">
        <x:v>3</x:v>
      </x:c>
      <x:c r="Z22" s="48" t="n">
        <x:v>3</x:v>
      </x:c>
      <x:c r="AA22" s="48" t="n">
        <x:v>3</x:v>
      </x:c>
      <x:c r="AB22" s="48" t="n">
        <x:v>3</x:v>
      </x:c>
      <x:c r="AC22" s="48" t="n">
        <x:v>4</x:v>
      </x:c>
      <x:c r="AD22" s="48" t="n">
        <x:v>3</x:v>
      </x:c>
      <x:c r="AE22" s="48" t="n">
        <x:v>3</x:v>
      </x:c>
      <x:c r="AF22" s="48" t="n">
        <x:v>3</x:v>
      </x:c>
      <x:c r="AG22" s="48" t="n">
        <x:v>2</x:v>
      </x:c>
      <x:c r="AH22" s="48" t="n">
        <x:v>3</x:v>
      </x:c>
      <x:c r="AI22" s="48" t="n">
        <x:v>2</x:v>
      </x:c>
    </x:row>
    <x:row r="23">
      <x:c r="A23" s="44" t="str">
        <x:v>P19 — MarkusK</x:v>
      </x:c>
      <x:c r="B23" s="48" t="n">
        <x:v>32</x:v>
      </x:c>
      <x:c r="C23" s="48" t="n">
        <x:v>4</x:v>
      </x:c>
      <x:c r="D23" s="48" t="n">
        <x:v>4</x:v>
      </x:c>
      <x:c r="E23" s="48" t="n">
        <x:v>4</x:v>
      </x:c>
      <x:c r="F23" s="48" t="n">
        <x:v>4</x:v>
      </x:c>
      <x:c r="G23" s="48" t="n">
        <x:v>4</x:v>
      </x:c>
      <x:c r="H23" s="48" t="n">
        <x:v>4</x:v>
      </x:c>
      <x:c r="I23" s="48" t="n">
        <x:v>1</x:v>
      </x:c>
      <x:c r="J23" s="48" t="n">
        <x:v>2</x:v>
      </x:c>
      <x:c r="K23" s="48" t="n">
        <x:v>2</x:v>
      </x:c>
      <x:c r="L23" s="48" t="n">
        <x:v>4</x:v>
      </x:c>
      <x:c r="M23" s="48" t="n">
        <x:v>3</x:v>
      </x:c>
      <x:c r="N23" s="48" t="n">
        <x:v>3</x:v>
      </x:c>
      <x:c r="O23" s="48" t="n">
        <x:v>4</x:v>
      </x:c>
      <x:c r="P23" s="48" t="n">
        <x:v>4</x:v>
      </x:c>
      <x:c r="Q23" s="48" t="n">
        <x:v>4</x:v>
      </x:c>
      <x:c r="R23" s="48" t="n">
        <x:v>2</x:v>
      </x:c>
      <x:c r="S23" s="48" t="n">
        <x:v>4</x:v>
      </x:c>
      <x:c r="T23" s="48" t="n">
        <x:v>4</x:v>
      </x:c>
      <x:c r="U23" s="48" t="n">
        <x:v>4</x:v>
      </x:c>
      <x:c r="V23" s="48" t="n">
        <x:v>4</x:v>
      </x:c>
      <x:c r="W23" s="48" t="n">
        <x:v>4</x:v>
      </x:c>
      <x:c r="X23" s="48" t="n">
        <x:v>2</x:v>
      </x:c>
      <x:c r="Y23" s="48" t="n">
        <x:v>3</x:v>
      </x:c>
      <x:c r="Z23" s="48" t="n">
        <x:v>2</x:v>
      </x:c>
      <x:c r="AA23" s="48" t="n">
        <x:v>3</x:v>
      </x:c>
      <x:c r="AB23" s="48" t="n">
        <x:v>4</x:v>
      </x:c>
      <x:c r="AC23" s="48" t="n">
        <x:v>4</x:v>
      </x:c>
      <x:c r="AD23" s="48" t="n">
        <x:v>4</x:v>
      </x:c>
      <x:c r="AE23" s="48" t="n">
        <x:v>2</x:v>
      </x:c>
      <x:c r="AF23" s="48" t="n">
        <x:v>4</x:v>
      </x:c>
      <x:c r="AG23" s="48" t="n">
        <x:v>3</x:v>
      </x:c>
      <x:c r="AH23" s="48" t="n">
        <x:v>3</x:v>
      </x:c>
      <x:c r="AI23" s="48" t="n">
        <x:v>3</x:v>
      </x:c>
    </x:row>
  </x:sheetData>
  <x:mergeCells>
    <x:mergeCell ref="A1:AI1"/>
    <x:mergeCell ref="A2:A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5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3" t="str">
        <x:v>Custom gaze &amp; suspicion questions (8 items)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2" customHeight="1">
      <x:c r="A2" s="7" t="str">
        <x:v>Study-specific 1–5 agreement items. Reported item-by-item; exploratory groupings are explicitly not validated scales. Item 8 is a burden/distraction item and is not reversed into a validated total.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56" t="str">
        <x:v>Reading guide: Mean = arithmetic average across participants. SD = standard deviation, showing how dispersed responses are around the mean; a larger SD means more varied answers. Median = middle response after sorting, which is less affected by extreme values.</x:v>
      </x:c>
      <x:c r="B3" s="57"/>
      <x:c r="C3" s="57"/>
      <x:c r="D3" s="57"/>
      <x:c r="E3" s="57"/>
      <x:c r="F3" s="57"/>
      <x:c r="G3" s="57"/>
      <x:c r="H3" s="57"/>
      <x:c r="I3" s="57"/>
      <x:c r="J3" s="58"/>
    </x:row>
    <x:row r="4" ht="22" customHeight="1">
      <x:c r="A4" s="24" t="str">
        <x:v>Exploratory groupings</x:v>
      </x:c>
      <x:c r="B4" s="25"/>
      <x:c r="C4" s="25"/>
      <x:c r="D4" s="25"/>
      <x:c r="E4" s="25"/>
      <x:c r="F4" s="25"/>
      <x:c r="G4" s="25"/>
      <x:c r="H4" s="25"/>
      <x:c r="I4" s="25"/>
      <x:c r="J4" s="26"/>
    </x:row>
    <x:row r="5">
      <x:c r="A5" s="35" t="str">
        <x:v>Grouping</x:v>
      </x:c>
      <x:c r="B5" s="36" t="str">
        <x:v>Items</x:v>
      </x:c>
      <x:c r="C5" s="36" t="str">
        <x:v>N = 19</x:v>
      </x:c>
      <x:c r="D5" s="36" t="str">
        <x:v>Mean</x:v>
      </x:c>
      <x:c r="E5" s="36" t="str">
        <x:v>SD</x:v>
      </x:c>
      <x:c r="F5" s="36" t="str">
        <x:v>Median</x:v>
      </x:c>
      <x:c r="G5" s="36" t="str">
        <x:v>Min</x:v>
      </x:c>
      <x:c r="H5" s="36" t="str">
        <x:v>Max</x:v>
      </x:c>
      <x:c r="I5" s="36" t="str">
        <x:v>Cronbach α</x:v>
      </x:c>
      <x:c r="J5" s="37" t="str">
        <x:v>Interpretation</x:v>
      </x:c>
    </x:row>
    <x:row r="6">
      <x:c r="A6" s="43" t="str">
        <x:v>Gaze tracking fidelity (exploratory)</x:v>
      </x:c>
      <x:c r="B6" s="43" t="str">
        <x:v>1, 2, 5</x:v>
      </x:c>
      <x:c r="C6" s="43" t="n">
        <x:v>19</x:v>
      </x:c>
      <x:c r="D6" s="45" t="n">
        <x:v>4.105263157894736</x:v>
      </x:c>
      <x:c r="E6" s="45" t="n">
        <x:v>0.4849924471722885</x:v>
      </x:c>
      <x:c r="F6" s="45" t="n">
        <x:v>4</x:v>
      </x:c>
      <x:c r="G6" s="45" t="n">
        <x:v>3.3333333333333335</x:v>
      </x:c>
      <x:c r="H6" s="45" t="n">
        <x:v>5</x:v>
      </x:c>
      <x:c r="I6" s="45" t="n">
        <x:v>-0.008287292817678704</x:v>
      </x:c>
      <x:c r="J6" s="43" t="str">
        <x:v>Study-specific exploratory grouping; not a validated scale.</x:v>
      </x:c>
    </x:row>
    <x:row r="7">
      <x:c r="A7" s="44" t="str">
        <x:v>Suspicion-model transparency (exploratory)</x:v>
      </x:c>
      <x:c r="B7" s="44" t="str">
        <x:v>3, 4, 5</x:v>
      </x:c>
      <x:c r="C7" s="44" t="n">
        <x:v>19</x:v>
      </x:c>
      <x:c r="D7" s="46" t="n">
        <x:v>3.8421052631578947</x:v>
      </x:c>
      <x:c r="E7" s="46" t="n">
        <x:v>0.7317189389294528</x:v>
      </x:c>
      <x:c r="F7" s="46" t="n">
        <x:v>4</x:v>
      </x:c>
      <x:c r="G7" s="46" t="n">
        <x:v>2.3333333333333335</x:v>
      </x:c>
      <x:c r="H7" s="46" t="n">
        <x:v>5</x:v>
      </x:c>
      <x:c r="I7" s="46" t="n">
        <x:v>0.6753640776699035</x:v>
      </x:c>
      <x:c r="J7" s="44" t="str">
        <x:v>Study-specific exploratory grouping; not a validated scale.</x:v>
      </x:c>
    </x:row>
    <x:row r="8">
      <x:c r="A8" s="44" t="str">
        <x:v>Productive challenge / tension (exploratory)</x:v>
      </x:c>
      <x:c r="B8" s="44" t="str">
        <x:v>6, 7</x:v>
      </x:c>
      <x:c r="C8" s="44" t="n">
        <x:v>19</x:v>
      </x:c>
      <x:c r="D8" s="46" t="n">
        <x:v>3.789473684210526</x:v>
      </x:c>
      <x:c r="E8" s="46" t="n">
        <x:v>0.9904514889921584</x:v>
      </x:c>
      <x:c r="F8" s="46" t="n">
        <x:v>4</x:v>
      </x:c>
      <x:c r="G8" s="46" t="n">
        <x:v>1</x:v>
      </x:c>
      <x:c r="H8" s="46" t="n">
        <x:v>5</x:v>
      </x:c>
      <x:c r="I8" s="46" t="n">
        <x:v>0.8047690014903135</x:v>
      </x:c>
      <x:c r="J8" s="44" t="str">
        <x:v>Study-specific exploratory grouping; not a validated scale.</x:v>
      </x:c>
    </x:row>
    <x:row r="11" ht="22" customHeight="1">
      <x:c r="A11" s="24" t="str">
        <x:v>Item-level descriptives</x:v>
      </x:c>
      <x:c r="B11" s="25"/>
      <x:c r="C11" s="25"/>
      <x:c r="D11" s="25"/>
      <x:c r="E11" s="25"/>
      <x:c r="F11" s="25"/>
      <x:c r="G11" s="25"/>
      <x:c r="H11" s="25"/>
      <x:c r="I11" s="25"/>
      <x:c r="J11" s="26"/>
    </x:row>
    <x:row r="12">
      <x:c r="A12" s="35" t="str">
        <x:v>Item</x:v>
      </x:c>
      <x:c r="B12" s="36" t="str">
        <x:v>Variable</x:v>
      </x:c>
      <x:c r="C12" s="36" t="str">
        <x:v>Question</x:v>
      </x:c>
      <x:c r="D12" s="36" t="str">
        <x:v>N = 19</x:v>
      </x:c>
      <x:c r="E12" s="36" t="str">
        <x:v>Mean</x:v>
      </x:c>
      <x:c r="F12" s="36" t="str">
        <x:v>SD</x:v>
      </x:c>
      <x:c r="G12" s="36" t="str">
        <x:v>Median</x:v>
      </x:c>
      <x:c r="H12" s="36" t="str">
        <x:v>Min</x:v>
      </x:c>
      <x:c r="I12" s="36" t="str">
        <x:v>Max</x:v>
      </x:c>
      <x:c r="J12" s="37" t="str">
        <x:v>Agree 4–5</x:v>
      </x:c>
    </x:row>
    <x:row r="13">
      <x:c r="A13" s="43" t="n">
        <x:v>1</x:v>
      </x:c>
      <x:c r="B13" s="43" t="str">
        <x:v>S001_01</x:v>
      </x:c>
      <x:c r="C13" s="43" t="str">
        <x:v>I felt the system correctly detected where I was looking.</x:v>
      </x:c>
      <x:c r="D13" s="43" t="n">
        <x:v>19</x:v>
      </x:c>
      <x:c r="E13" s="45" t="n">
        <x:v>4.473684210526316</x:v>
      </x:c>
      <x:c r="F13" s="45" t="n">
        <x:v>0.6117752903214981</x:v>
      </x:c>
      <x:c r="G13" s="45" t="n">
        <x:v>5</x:v>
      </x:c>
      <x:c r="H13" s="45" t="n">
        <x:v>3</x:v>
      </x:c>
      <x:c r="I13" s="45" t="n">
        <x:v>5</x:v>
      </x:c>
      <x:c r="J13" s="68" t="n">
        <x:v>0.9473684210526315</x:v>
      </x:c>
    </x:row>
    <x:row r="14">
      <x:c r="A14" s="44" t="n">
        <x:v>2</x:v>
      </x:c>
      <x:c r="B14" s="44" t="str">
        <x:v>S001_02</x:v>
      </x:c>
      <x:c r="C14" s="44" t="str">
        <x:v>My eye movements felt like a natural part of the gameplay.</x:v>
      </x:c>
      <x:c r="D14" s="44" t="n">
        <x:v>19</x:v>
      </x:c>
      <x:c r="E14" s="46" t="n">
        <x:v>4.2105263157894735</x:v>
      </x:c>
      <x:c r="F14" s="46" t="n">
        <x:v>0.9176629354822469</x:v>
      </x:c>
      <x:c r="G14" s="46" t="n">
        <x:v>4</x:v>
      </x:c>
      <x:c r="H14" s="46" t="n">
        <x:v>2</x:v>
      </x:c>
      <x:c r="I14" s="46" t="n">
        <x:v>5</x:v>
      </x:c>
      <x:c r="J14" s="69" t="n">
        <x:v>0.7894736842105263</x:v>
      </x:c>
    </x:row>
    <x:row r="15">
      <x:c r="A15" s="44" t="n">
        <x:v>3</x:v>
      </x:c>
      <x:c r="B15" s="44" t="str">
        <x:v>S001_03</x:v>
      </x:c>
      <x:c r="C15" s="44" t="str">
        <x:v>I understood that looking at certain areas could affect the suspicion level.</x:v>
      </x:c>
      <x:c r="D15" s="44" t="n">
        <x:v>19</x:v>
      </x:c>
      <x:c r="E15" s="46" t="n">
        <x:v>4.2105263157894735</x:v>
      </x:c>
      <x:c r="F15" s="46" t="n">
        <x:v>0.7132825035177586</x:v>
      </x:c>
      <x:c r="G15" s="46" t="n">
        <x:v>4</x:v>
      </x:c>
      <x:c r="H15" s="46" t="n">
        <x:v>3</x:v>
      </x:c>
      <x:c r="I15" s="46" t="n">
        <x:v>5</x:v>
      </x:c>
      <x:c r="J15" s="69" t="n">
        <x:v>0.8421052631578947</x:v>
      </x:c>
    </x:row>
    <x:row r="16">
      <x:c r="A16" s="44" t="n">
        <x:v>4</x:v>
      </x:c>
      <x:c r="B16" s="44" t="str">
        <x:v>S001_04</x:v>
      </x:c>
      <x:c r="C16" s="44" t="str">
        <x:v>I understood why the suspicion level increased or decreased during the game.</x:v>
      </x:c>
      <x:c r="D16" s="44" t="n">
        <x:v>19</x:v>
      </x:c>
      <x:c r="E16" s="46" t="n">
        <x:v>3.6842105263157894</x:v>
      </x:c>
      <x:c r="F16" s="46" t="n">
        <x:v>1.1081832770072815</x:v>
      </x:c>
      <x:c r="G16" s="46" t="n">
        <x:v>4</x:v>
      </x:c>
      <x:c r="H16" s="46" t="n">
        <x:v>1</x:v>
      </x:c>
      <x:c r="I16" s="46" t="n">
        <x:v>5</x:v>
      </x:c>
      <x:c r="J16" s="69" t="n">
        <x:v>0.5789473684210527</x:v>
      </x:c>
    </x:row>
    <x:row r="17">
      <x:c r="A17" s="44" t="n">
        <x:v>5</x:v>
      </x:c>
      <x:c r="B17" s="44" t="str">
        <x:v>S001_05</x:v>
      </x:c>
      <x:c r="C17" s="44" t="str">
        <x:v>The suspicion meter responded to my gaze in a way that matched my expectations.</x:v>
      </x:c>
      <x:c r="D17" s="44" t="n">
        <x:v>19</x:v>
      </x:c>
      <x:c r="E17" s="46" t="n">
        <x:v>3.6315789473684212</x:v>
      </x:c>
      <x:c r="F17" s="46" t="n">
        <x:v>0.9551338658818385</x:v>
      </x:c>
      <x:c r="G17" s="46" t="n">
        <x:v>4</x:v>
      </x:c>
      <x:c r="H17" s="46" t="n">
        <x:v>1</x:v>
      </x:c>
      <x:c r="I17" s="46" t="n">
        <x:v>5</x:v>
      </x:c>
      <x:c r="J17" s="69" t="n">
        <x:v>0.5789473684210527</x:v>
      </x:c>
    </x:row>
    <x:row r="18">
      <x:c r="A18" s="44" t="n">
        <x:v>6</x:v>
      </x:c>
      <x:c r="B18" s="44" t="str">
        <x:v>S001_06</x:v>
      </x:c>
      <x:c r="C18" s="44" t="str">
        <x:v>I felt challenged by having to gather information while controlling my gaze.</x:v>
      </x:c>
      <x:c r="D18" s="44" t="n">
        <x:v>19</x:v>
      </x:c>
      <x:c r="E18" s="46" t="n">
        <x:v>3.736842105263158</x:v>
      </x:c>
      <x:c r="F18" s="46" t="n">
        <x:v>0.9911892555667039</x:v>
      </x:c>
      <x:c r="G18" s="46" t="n">
        <x:v>4</x:v>
      </x:c>
      <x:c r="H18" s="46" t="n">
        <x:v>1</x:v>
      </x:c>
      <x:c r="I18" s="46" t="n">
        <x:v>5</x:v>
      </x:c>
      <x:c r="J18" s="69" t="n">
        <x:v>0.7368421052631579</x:v>
      </x:c>
    </x:row>
    <x:row r="19">
      <x:c r="A19" s="44" t="n">
        <x:v>7</x:v>
      </x:c>
      <x:c r="B19" s="44" t="str">
        <x:v>S001_07</x:v>
      </x:c>
      <x:c r="C19" s="44" t="str">
        <x:v>The gaze-based suspicion mechanic made the interrogation feel more tense.</x:v>
      </x:c>
      <x:c r="D19" s="44" t="n">
        <x:v>19</x:v>
      </x:c>
      <x:c r="E19" s="46" t="n">
        <x:v>3.8421052631578947</x:v>
      </x:c>
      <x:c r="F19" s="46" t="n">
        <x:v>1.167293064922089</x:v>
      </x:c>
      <x:c r="G19" s="46" t="n">
        <x:v>4</x:v>
      </x:c>
      <x:c r="H19" s="46" t="n">
        <x:v>1</x:v>
      </x:c>
      <x:c r="I19" s="46" t="n">
        <x:v>5</x:v>
      </x:c>
      <x:c r="J19" s="69" t="n">
        <x:v>0.7368421052631579</x:v>
      </x:c>
    </x:row>
    <x:row r="20">
      <x:c r="A20" s="44" t="n">
        <x:v>8</x:v>
      </x:c>
      <x:c r="B20" s="44" t="str">
        <x:v>S001_08</x:v>
      </x:c>
      <x:c r="C20" s="44" t="str">
        <x:v>The gaze-based mechanic distracted me from following the story.</x:v>
      </x:c>
      <x:c r="D20" s="44" t="n">
        <x:v>19</x:v>
      </x:c>
      <x:c r="E20" s="46" t="n">
        <x:v>3</x:v>
      </x:c>
      <x:c r="F20" s="46" t="n">
        <x:v>1.247219128924647</x:v>
      </x:c>
      <x:c r="G20" s="46" t="n">
        <x:v>3</x:v>
      </x:c>
      <x:c r="H20" s="46" t="n">
        <x:v>1</x:v>
      </x:c>
      <x:c r="I20" s="46" t="n">
        <x:v>5</x:v>
      </x:c>
      <x:c r="J20" s="69" t="n">
        <x:v>0.47368421052631576</x:v>
      </x:c>
    </x:row>
    <x:row r="23" ht="22" customHeight="1">
      <x:c r="A23" s="24" t="str">
        <x:v>Interpretive framework</x:v>
      </x:c>
      <x:c r="B23" s="25"/>
      <x:c r="C23" s="25"/>
      <x:c r="D23" s="25"/>
      <x:c r="E23" s="25"/>
      <x:c r="F23" s="25"/>
      <x:c r="G23" s="25"/>
      <x:c r="H23" s="25"/>
      <x:c r="I23" s="25"/>
      <x:c r="J23" s="26"/>
    </x:row>
    <x:row r="24">
      <x:c r="A24" s="43" t="str">
        <x:v>Tracking trust</x:v>
      </x:c>
      <x:c r="B24" s="43" t="str">
        <x:v>Q1/Q2/Q5; whether gaze sensing appears accurate and usable</x:v>
      </x:c>
      <x:c r="C24" s="43" t="str">
        <x:v>Lee &amp; See (2004): trust should support appropriate reliance, not merely confidence</x:v>
      </x:c>
      <x:c r="D24" s="43" t="str">
        <x:v>https://pubmed.ncbi.nlm.nih.gov/15151155/</x:v>
      </x:c>
      <x:c r="E24" s="43"/>
      <x:c r="F24" s="43"/>
      <x:c r="G24" s="43"/>
      <x:c r="H24" s="43"/>
      <x:c r="I24" s="43"/>
      <x:c r="J24" s="43"/>
    </x:row>
    <x:row r="25">
      <x:c r="A25" s="44" t="str">
        <x:v>Mental-model transparency</x:v>
      </x:c>
      <x:c r="B25" s="44" t="str">
        <x:v>Q3/Q4/Q5; whether users can explain cause and state change</x:v>
      </x:c>
      <x:c r="C25" s="44" t="str">
        <x:v>Compare perceived accuracy with understanding of automation behavior</x:v>
      </x:c>
      <x:c r="D25" s="44" t="str">
        <x:v>https://doi.org/10.1518/hfes.46.1.50_30392</x:v>
      </x:c>
      <x:c r="E25" s="44"/>
      <x:c r="F25" s="44"/>
      <x:c r="G25" s="44"/>
      <x:c r="H25" s="44"/>
      <x:c r="I25" s="44"/>
      <x:c r="J25" s="44"/>
    </x:row>
    <x:row r="26">
      <x:c r="A26" s="44" t="str">
        <x:v>Gameplay impact</x:v>
      </x:c>
      <x:c r="B26" s="44" t="str">
        <x:v>Q6/Q7/Q8; challenge/tension versus distraction</x:v>
      </x:c>
      <x:c r="C26" s="44" t="str">
        <x:v>Triangulate with GEQ Challenge, Tension and Flow; do not combine as a validated scale</x:v>
      </x:c>
      <x:c r="D26" s="44" t="str">
        <x:v>https://research.tue.nl/en/publications/the-game-experience-questionnaire/</x:v>
      </x:c>
      <x:c r="E26" s="44"/>
      <x:c r="F26" s="44"/>
      <x:c r="G26" s="44"/>
      <x:c r="H26" s="44"/>
      <x:c r="I26" s="44"/>
      <x:c r="J26" s="44"/>
    </x:row>
  </x:sheetData>
  <x:mergeCells>
    <x:mergeCell ref="A1:J1"/>
    <x:mergeCell ref="A2:J2"/>
    <x:mergeCell ref="A3:J3"/>
    <x:mergeCell ref="A4:J4"/>
    <x:mergeCell ref="A11:J11"/>
    <x:mergeCell ref="A23:J23"/>
  </x:mergeCells>
  <x:conditionalFormatting sqref="E13:E20">
    <x:cfRule type="colorScale" priority="1">
      <x:colorScale>
        <x:cfvo type="num" val="1"/>
        <x:cfvo type="num" val="3"/>
        <x:cfvo type="num" val="5"/>
        <x:color rgb="FFF7E1E1"/>
        <x:color rgb="FFF8EACD"/>
        <x:color rgb="FFE1EF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3" t="str">
        <x:v>Raw Custom 8 responses (unaltered 1–5 inputs)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Participant is the unique identifier. Values are copied directly from the supplied questionnaire workbook.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35" t="str">
        <x:v>Participant</x:v>
      </x:c>
      <x:c r="B4" s="36" t="str">
        <x:v>S001_01</x:v>
      </x:c>
      <x:c r="C4" s="36" t="str">
        <x:v>S001_02</x:v>
      </x:c>
      <x:c r="D4" s="36" t="str">
        <x:v>S001_03</x:v>
      </x:c>
      <x:c r="E4" s="36" t="str">
        <x:v>S001_04</x:v>
      </x:c>
      <x:c r="F4" s="36" t="str">
        <x:v>S001_05</x:v>
      </x:c>
      <x:c r="G4" s="36" t="str">
        <x:v>S001_06</x:v>
      </x:c>
      <x:c r="H4" s="36" t="str">
        <x:v>S001_07</x:v>
      </x:c>
      <x:c r="I4" s="37" t="str">
        <x:v>S001_08</x:v>
      </x:c>
    </x:row>
    <x:row r="5">
      <x:c r="A5" s="43" t="str">
        <x:v>P01 — song</x:v>
      </x:c>
      <x:c r="B5" s="47" t="n">
        <x:v>4</x:v>
      </x:c>
      <x:c r="C5" s="47" t="n">
        <x:v>4</x:v>
      </x:c>
      <x:c r="D5" s="47" t="n">
        <x:v>4</x:v>
      </x:c>
      <x:c r="E5" s="47" t="n">
        <x:v>4</x:v>
      </x:c>
      <x:c r="F5" s="47" t="n">
        <x:v>4</x:v>
      </x:c>
      <x:c r="G5" s="47" t="n">
        <x:v>4</x:v>
      </x:c>
      <x:c r="H5" s="47" t="n">
        <x:v>4</x:v>
      </x:c>
      <x:c r="I5" s="47" t="n">
        <x:v>4</x:v>
      </x:c>
    </x:row>
    <x:row r="6">
      <x:c r="A6" s="44" t="str">
        <x:v>P02 — diane</x:v>
      </x:c>
      <x:c r="B6" s="48" t="n">
        <x:v>5</x:v>
      </x:c>
      <x:c r="C6" s="48" t="n">
        <x:v>5</x:v>
      </x:c>
      <x:c r="D6" s="48" t="n">
        <x:v>5</x:v>
      </x:c>
      <x:c r="E6" s="48" t="n">
        <x:v>5</x:v>
      </x:c>
      <x:c r="F6" s="48" t="n">
        <x:v>5</x:v>
      </x:c>
      <x:c r="G6" s="48" t="n">
        <x:v>5</x:v>
      </x:c>
      <x:c r="H6" s="48" t="n">
        <x:v>5</x:v>
      </x:c>
      <x:c r="I6" s="48" t="n">
        <x:v>4</x:v>
      </x:c>
    </x:row>
    <x:row r="7">
      <x:c r="A7" s="44" t="str">
        <x:v>P03 — Andy</x:v>
      </x:c>
      <x:c r="B7" s="48" t="n">
        <x:v>5</x:v>
      </x:c>
      <x:c r="C7" s="48" t="n">
        <x:v>5</x:v>
      </x:c>
      <x:c r="D7" s="48" t="n">
        <x:v>5</x:v>
      </x:c>
      <x:c r="E7" s="48" t="n">
        <x:v>5</x:v>
      </x:c>
      <x:c r="F7" s="48" t="n">
        <x:v>3</x:v>
      </x:c>
      <x:c r="G7" s="48" t="n">
        <x:v>4</x:v>
      </x:c>
      <x:c r="H7" s="48" t="n">
        <x:v>4</x:v>
      </x:c>
      <x:c r="I7" s="48" t="n">
        <x:v>1</x:v>
      </x:c>
    </x:row>
    <x:row r="8">
      <x:c r="A8" s="44" t="str">
        <x:v>P04 — Madan</x:v>
      </x:c>
      <x:c r="B8" s="48" t="n">
        <x:v>5</x:v>
      </x:c>
      <x:c r="C8" s="48" t="n">
        <x:v>5</x:v>
      </x:c>
      <x:c r="D8" s="48" t="n">
        <x:v>3</x:v>
      </x:c>
      <x:c r="E8" s="48" t="n">
        <x:v>3</x:v>
      </x:c>
      <x:c r="F8" s="48" t="n">
        <x:v>3</x:v>
      </x:c>
      <x:c r="G8" s="48" t="n">
        <x:v>4</x:v>
      </x:c>
      <x:c r="H8" s="48" t="n">
        <x:v>2</x:v>
      </x:c>
      <x:c r="I8" s="48" t="n">
        <x:v>4</x:v>
      </x:c>
    </x:row>
    <x:row r="9">
      <x:c r="A9" s="44" t="str">
        <x:v>P05 — Octavio</x:v>
      </x:c>
      <x:c r="B9" s="48" t="n">
        <x:v>5</x:v>
      </x:c>
      <x:c r="C9" s="48" t="n">
        <x:v>4</x:v>
      </x:c>
      <x:c r="D9" s="48" t="n">
        <x:v>5</x:v>
      </x:c>
      <x:c r="E9" s="48" t="n">
        <x:v>5</x:v>
      </x:c>
      <x:c r="F9" s="48" t="n">
        <x:v>4</x:v>
      </x:c>
      <x:c r="G9" s="48" t="n">
        <x:v>4</x:v>
      </x:c>
      <x:c r="H9" s="48" t="n">
        <x:v>5</x:v>
      </x:c>
      <x:c r="I9" s="48" t="n">
        <x:v>4</x:v>
      </x:c>
    </x:row>
    <x:row r="10">
      <x:c r="A10" s="44" t="str">
        <x:v>P06 — heeyun</x:v>
      </x:c>
      <x:c r="B10" s="48" t="n">
        <x:v>5</x:v>
      </x:c>
      <x:c r="C10" s="48" t="n">
        <x:v>2</x:v>
      </x:c>
      <x:c r="D10" s="48" t="n">
        <x:v>4</x:v>
      </x:c>
      <x:c r="E10" s="48" t="n">
        <x:v>4</x:v>
      </x:c>
      <x:c r="F10" s="48" t="n">
        <x:v>4</x:v>
      </x:c>
      <x:c r="G10" s="48" t="n">
        <x:v>2</x:v>
      </x:c>
      <x:c r="H10" s="48" t="n">
        <x:v>2</x:v>
      </x:c>
      <x:c r="I10" s="48" t="n">
        <x:v>4</x:v>
      </x:c>
    </x:row>
    <x:row r="11">
      <x:c r="A11" s="44" t="str">
        <x:v>P07 — yan</x:v>
      </x:c>
      <x:c r="B11" s="48" t="n">
        <x:v>5</x:v>
      </x:c>
      <x:c r="C11" s="48" t="n">
        <x:v>5</x:v>
      </x:c>
      <x:c r="D11" s="48" t="n">
        <x:v>5</x:v>
      </x:c>
      <x:c r="E11" s="48" t="n">
        <x:v>3</x:v>
      </x:c>
      <x:c r="F11" s="48" t="n">
        <x:v>3</x:v>
      </x:c>
      <x:c r="G11" s="48" t="n">
        <x:v>1</x:v>
      </x:c>
      <x:c r="H11" s="48" t="n">
        <x:v>1</x:v>
      </x:c>
      <x:c r="I11" s="48" t="n">
        <x:v>3</x:v>
      </x:c>
    </x:row>
    <x:row r="12">
      <x:c r="A12" s="44" t="str">
        <x:v>P08 — Dragon</x:v>
      </x:c>
      <x:c r="B12" s="48" t="n">
        <x:v>5</x:v>
      </x:c>
      <x:c r="C12" s="48" t="n">
        <x:v>5</x:v>
      </x:c>
      <x:c r="D12" s="48" t="n">
        <x:v>5</x:v>
      </x:c>
      <x:c r="E12" s="48" t="n">
        <x:v>5</x:v>
      </x:c>
      <x:c r="F12" s="48" t="n">
        <x:v>5</x:v>
      </x:c>
      <x:c r="G12" s="48" t="n">
        <x:v>3</x:v>
      </x:c>
      <x:c r="H12" s="48" t="n">
        <x:v>5</x:v>
      </x:c>
      <x:c r="I12" s="48" t="n">
        <x:v>2</x:v>
      </x:c>
    </x:row>
    <x:row r="13">
      <x:c r="A13" s="44" t="str">
        <x:v>P09 — Miller</x:v>
      </x:c>
      <x:c r="B13" s="48" t="n">
        <x:v>4</x:v>
      </x:c>
      <x:c r="C13" s="48" t="n">
        <x:v>3</x:v>
      </x:c>
      <x:c r="D13" s="48" t="n">
        <x:v>3</x:v>
      </x:c>
      <x:c r="E13" s="48" t="n">
        <x:v>3</x:v>
      </x:c>
      <x:c r="F13" s="48" t="n">
        <x:v>3</x:v>
      </x:c>
      <x:c r="G13" s="48" t="n">
        <x:v>4</x:v>
      </x:c>
      <x:c r="H13" s="48" t="n">
        <x:v>5</x:v>
      </x:c>
      <x:c r="I13" s="48" t="n">
        <x:v>1</x:v>
      </x:c>
    </x:row>
    <x:row r="14">
      <x:c r="A14" s="44" t="str">
        <x:v>P10 — Beate</x:v>
      </x:c>
      <x:c r="B14" s="48" t="n">
        <x:v>5</x:v>
      </x:c>
      <x:c r="C14" s="48" t="n">
        <x:v>5</x:v>
      </x:c>
      <x:c r="D14" s="48" t="n">
        <x:v>4</x:v>
      </x:c>
      <x:c r="E14" s="48" t="n">
        <x:v>3</x:v>
      </x:c>
      <x:c r="F14" s="48" t="n">
        <x:v>4</x:v>
      </x:c>
      <x:c r="G14" s="48" t="n">
        <x:v>5</x:v>
      </x:c>
      <x:c r="H14" s="48" t="n">
        <x:v>4</x:v>
      </x:c>
      <x:c r="I14" s="48" t="n">
        <x:v>3</x:v>
      </x:c>
    </x:row>
    <x:row r="15">
      <x:c r="A15" s="44" t="str">
        <x:v>P11 — Franzi</x:v>
      </x:c>
      <x:c r="B15" s="48" t="n">
        <x:v>5</x:v>
      </x:c>
      <x:c r="C15" s="48" t="n">
        <x:v>5</x:v>
      </x:c>
      <x:c r="D15" s="48" t="n">
        <x:v>5</x:v>
      </x:c>
      <x:c r="E15" s="48" t="n">
        <x:v>1</x:v>
      </x:c>
      <x:c r="F15" s="48" t="n">
        <x:v>1</x:v>
      </x:c>
      <x:c r="G15" s="48" t="n">
        <x:v>4</x:v>
      </x:c>
      <x:c r="H15" s="48" t="n">
        <x:v>3</x:v>
      </x:c>
      <x:c r="I15" s="48" t="n">
        <x:v>4</x:v>
      </x:c>
    </x:row>
    <x:row r="16">
      <x:c r="A16" s="44" t="str">
        <x:v>P12 — Cindy</x:v>
      </x:c>
      <x:c r="B16" s="48" t="n">
        <x:v>4</x:v>
      </x:c>
      <x:c r="C16" s="48" t="n">
        <x:v>4</x:v>
      </x:c>
      <x:c r="D16" s="48" t="n">
        <x:v>3</x:v>
      </x:c>
      <x:c r="E16" s="48" t="n">
        <x:v>3</x:v>
      </x:c>
      <x:c r="F16" s="48" t="n">
        <x:v>4</x:v>
      </x:c>
      <x:c r="G16" s="48" t="n">
        <x:v>3</x:v>
      </x:c>
      <x:c r="H16" s="48" t="n">
        <x:v>3</x:v>
      </x:c>
      <x:c r="I16" s="48" t="n">
        <x:v>1</x:v>
      </x:c>
    </x:row>
    <x:row r="17">
      <x:c r="A17" s="44" t="str">
        <x:v>P13 — Hanna</x:v>
      </x:c>
      <x:c r="B17" s="48" t="n">
        <x:v>4</x:v>
      </x:c>
      <x:c r="C17" s="48" t="n">
        <x:v>3</x:v>
      </x:c>
      <x:c r="D17" s="48" t="n">
        <x:v>4</x:v>
      </x:c>
      <x:c r="E17" s="48" t="n">
        <x:v>4</x:v>
      </x:c>
      <x:c r="F17" s="48" t="n">
        <x:v>4</x:v>
      </x:c>
      <x:c r="G17" s="48" t="n">
        <x:v>3</x:v>
      </x:c>
      <x:c r="H17" s="48" t="n">
        <x:v>4</x:v>
      </x:c>
      <x:c r="I17" s="48" t="n">
        <x:v>2</x:v>
      </x:c>
    </x:row>
    <x:row r="18">
      <x:c r="A18" s="44" t="str">
        <x:v>P14 — Claire</x:v>
      </x:c>
      <x:c r="B18" s="48" t="n">
        <x:v>3</x:v>
      </x:c>
      <x:c r="C18" s="48" t="n">
        <x:v>4</x:v>
      </x:c>
      <x:c r="D18" s="48" t="n">
        <x:v>4</x:v>
      </x:c>
      <x:c r="E18" s="48" t="n">
        <x:v>5</x:v>
      </x:c>
      <x:c r="F18" s="48" t="n">
        <x:v>5</x:v>
      </x:c>
      <x:c r="G18" s="48" t="n">
        <x:v>5</x:v>
      </x:c>
      <x:c r="H18" s="48" t="n">
        <x:v>5</x:v>
      </x:c>
      <x:c r="I18" s="48" t="n">
        <x:v>2</x:v>
      </x:c>
    </x:row>
    <x:row r="19">
      <x:c r="A19" s="44" t="str">
        <x:v>P15 — Martina</x:v>
      </x:c>
      <x:c r="B19" s="48" t="n">
        <x:v>4</x:v>
      </x:c>
      <x:c r="C19" s="48" t="n">
        <x:v>4</x:v>
      </x:c>
      <x:c r="D19" s="48" t="n">
        <x:v>4</x:v>
      </x:c>
      <x:c r="E19" s="48" t="n">
        <x:v>4</x:v>
      </x:c>
      <x:c r="F19" s="48" t="n">
        <x:v>4</x:v>
      </x:c>
      <x:c r="G19" s="48" t="n">
        <x:v>4</x:v>
      </x:c>
      <x:c r="H19" s="48" t="n">
        <x:v>4</x:v>
      </x:c>
      <x:c r="I19" s="48" t="n">
        <x:v>4</x:v>
      </x:c>
    </x:row>
    <x:row r="20">
      <x:c r="A20" s="44" t="str">
        <x:v>P16 — SebastianH</x:v>
      </x:c>
      <x:c r="B20" s="48" t="n">
        <x:v>4</x:v>
      </x:c>
      <x:c r="C20" s="48" t="n">
        <x:v>5</x:v>
      </x:c>
      <x:c r="D20" s="48" t="n">
        <x:v>5</x:v>
      </x:c>
      <x:c r="E20" s="48" t="n">
        <x:v>4</x:v>
      </x:c>
      <x:c r="F20" s="48" t="n">
        <x:v>4</x:v>
      </x:c>
      <x:c r="G20" s="48" t="n">
        <x:v>4</x:v>
      </x:c>
      <x:c r="H20" s="48" t="n">
        <x:v>4</x:v>
      </x:c>
      <x:c r="I20" s="48" t="n">
        <x:v>3</x:v>
      </x:c>
    </x:row>
    <x:row r="21">
      <x:c r="A21" s="44" t="str">
        <x:v>P17 — Domi</x:v>
      </x:c>
      <x:c r="B21" s="48" t="n">
        <x:v>5</x:v>
      </x:c>
      <x:c r="C21" s="48" t="n">
        <x:v>5</x:v>
      </x:c>
      <x:c r="D21" s="48" t="n">
        <x:v>4</x:v>
      </x:c>
      <x:c r="E21" s="48" t="n">
        <x:v>2</x:v>
      </x:c>
      <x:c r="F21" s="48" t="n">
        <x:v>3</x:v>
      </x:c>
      <x:c r="G21" s="48" t="n">
        <x:v>4</x:v>
      </x:c>
      <x:c r="H21" s="48" t="n">
        <x:v>5</x:v>
      </x:c>
      <x:c r="I21" s="48" t="n">
        <x:v>4</x:v>
      </x:c>
    </x:row>
    <x:row r="22">
      <x:c r="A22" s="44" t="str">
        <x:v>P18 — Michael</x:v>
      </x:c>
      <x:c r="B22" s="48" t="n">
        <x:v>4</x:v>
      </x:c>
      <x:c r="C22" s="48" t="n">
        <x:v>3</x:v>
      </x:c>
      <x:c r="D22" s="48" t="n">
        <x:v>4</x:v>
      </x:c>
      <x:c r="E22" s="48" t="n">
        <x:v>4</x:v>
      </x:c>
      <x:c r="F22" s="48" t="n">
        <x:v>3</x:v>
      </x:c>
      <x:c r="G22" s="48" t="n">
        <x:v>4</x:v>
      </x:c>
      <x:c r="H22" s="48" t="n">
        <x:v>4</x:v>
      </x:c>
      <x:c r="I22" s="48" t="n">
        <x:v>2</x:v>
      </x:c>
    </x:row>
    <x:row r="23">
      <x:c r="A23" s="44" t="str">
        <x:v>P19 — MarkusK</x:v>
      </x:c>
      <x:c r="B23" s="48" t="n">
        <x:v>4</x:v>
      </x:c>
      <x:c r="C23" s="48" t="n">
        <x:v>4</x:v>
      </x:c>
      <x:c r="D23" s="48" t="n">
        <x:v>4</x:v>
      </x:c>
      <x:c r="E23" s="48" t="n">
        <x:v>3</x:v>
      </x:c>
      <x:c r="F23" s="48" t="n">
        <x:v>3</x:v>
      </x:c>
      <x:c r="G23" s="48" t="n">
        <x:v>4</x:v>
      </x:c>
      <x:c r="H23" s="48" t="n">
        <x:v>4</x:v>
      </x:c>
      <x:c r="I23" s="48" t="n">
        <x:v>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28" hidden="0" customWidth="1"/>
    <x:col min="8" max="8" width="55" hidden="0" customWidth="1"/>
    <x:col min="9" max="9" width="10" hidden="0" customWidth="1"/>
  </x:cols>
  <x:sheetData>
    <x:row r="1" ht="30" customHeight="1">
      <x:c r="A1" s="3" t="str">
        <x:v>Open-ended questionnaire responses</x:v>
      </x:c>
      <x:c r="B1" s="3"/>
      <x:c r="C1" s="3"/>
      <x:c r="D1" s="3"/>
      <x:c r="E1" s="3"/>
      <x:c r="F1" s="3"/>
      <x:c r="G1" s="3"/>
      <x:c r="H1" s="3"/>
      <x:c r="I1" s="3"/>
    </x:row>
    <x:row r="2" ht="42" customHeight="1">
      <x:c r="A2" s="7" t="str">
        <x:v>All three A101 questions are retained verbatim. Codes are analytic labels, not participant text; missing and low-information responses remain visible.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35" t="str">
        <x:v>Participant</x:v>
      </x:c>
      <x:c r="B4" s="36" t="str">
        <x:v>Quality</x:v>
      </x:c>
      <x:c r="C4" s="36" t="str">
        <x:v>Q1 immersion</x:v>
      </x:c>
      <x:c r="D4" s="36" t="str">
        <x:v>Q2 gameplay influence</x:v>
      </x:c>
      <x:c r="E4" s="36" t="str">
        <x:v>Q3 confusion</x:v>
      </x:c>
      <x:c r="F4" s="36" t="str">
        <x:v>Further comment</x:v>
      </x:c>
      <x:c r="G4" s="36" t="str">
        <x:v>Codes</x:v>
      </x:c>
      <x:c r="H4" s="36" t="str">
        <x:v>Analytic memo</x:v>
      </x:c>
      <x:c r="I4" s="37" t="str">
        <x:v>Missing %</x:v>
      </x:c>
    </x:row>
    <x:row r="5" ht="84" customHeight="1">
      <x:c r="A5" s="43" t="str">
        <x:v>P01 — song</x:v>
      </x:c>
      <x:c r="B5" s="43" t="str">
        <x:v>Missing</x:v>
      </x:c>
      <x:c r="C5" s="43" t="str"/>
      <x:c r="D5" s="43" t="str"/>
      <x:c r="E5" s="43" t="str"/>
      <x:c r="F5" s="43" t="str"/>
      <x:c r="G5" s="43" t="str"/>
      <x:c r="H5" s="43" t="str"/>
      <x:c r="I5" s="47" t="n">
        <x:v>8</x:v>
      </x:c>
    </x:row>
    <x:row r="6" ht="84" customHeight="1">
      <x:c r="A6" s="44" t="str">
        <x:v>P02 — diane</x:v>
      </x:c>
      <x:c r="B6" s="44" t="str">
        <x:v>Substantive</x:v>
      </x:c>
      <x:c r="C6" s="44" t="str">
        <x:v>I felt most immeresed when I was able to look around for clues</x:v>
      </x:c>
      <x:c r="D6" s="44" t="str">
        <x:v>I felt motionless during the points of holding eye contact afterwards when I had time to look around it was exciting and a rush to gather evidence</x:v>
      </x:c>
      <x:c r="E6" s="44" t="str">
        <x:v>I was too focused on the eye contact that I never came under suspicion</x:v>
      </x:c>
      <x:c r="F6" s="44" t="str">
        <x:v>I am curious to find out more about this game</x:v>
      </x:c>
      <x:c r="G6" s="44" t="str">
        <x:v>IMMERSION_STEALTH_OPPORTUNITY, GAZE_OVERCONTROL, FEEDBACK_UNNOTICED</x:v>
      </x:c>
      <x:c r="H6" s="44" t="str">
        <x:v>Covert search or NPC turn-away window supported engagement.; Participant adopted rigid/frozen gaze to avoid suspicion.; Suspicion meter/vignette was not seen or did not trigger.</x:v>
      </x:c>
      <x:c r="I6" s="48" t="n">
        <x:v>0</x:v>
      </x:c>
    </x:row>
    <x:row r="7" ht="84" customHeight="1">
      <x:c r="A7" s="44" t="str">
        <x:v>P03 — Andy</x:v>
      </x:c>
      <x:c r="B7" s="44" t="str">
        <x:v>Substantive</x:v>
      </x:c>
      <x:c r="C7" s="44" t="str">
        <x:v>Receiving information about myself as well as the Director also having to stay focused trying to listen to him and gather visual clues.</x:v>
      </x:c>
      <x:c r="D7" s="44" t="str">
        <x:v>Effectively and efficiently, tracked my gaze perfectly.</x:v>
      </x:c>
      <x:c r="E7" s="44" t="str">
        <x:v>I didn't experience it in my game play because i was able to search for clues without alerting the Director. </x:v>
      </x:c>
      <x:c r="F7" s="44" t="str"/>
      <x:c r="G7" s="44" t="str">
        <x:v>DUAL_TASK_LOAD, TRACKING_TRUST, GAZE_OVERCONTROL</x:v>
      </x:c>
      <x:c r="H7" s="44" t="str">
        <x:v>Visual search, gaze control and audio/story competed for attention.; Participant trusted gaze tracking, usually because of the cursor/dot.; Participant adopted rigid/frozen gaze to avoid suspicion.</x:v>
      </x:c>
      <x:c r="I7" s="48" t="n">
        <x:v>0</x:v>
      </x:c>
    </x:row>
    <x:row r="8" ht="84" customHeight="1">
      <x:c r="A8" s="44" t="str">
        <x:v>P04 — Madan</x:v>
      </x:c>
      <x:c r="B8" s="44" t="str">
        <x:v>Substantive</x:v>
      </x:c>
      <x:c r="C8" s="44" t="str">
        <x:v>Most Immersed moment was during actual playing of the game and answering questions.
Least Immersed  was calibration aspects. I thought it could have been much easier for those playing the game.</x:v>
      </x:c>
      <x:c r="D8" s="44" t="str">
        <x:v>It did not affect my play.</x:v>
      </x:c>
      <x:c r="E8" s="44" t="str">
        <x:v>My experience with this suspicion level was neutral because I see the officer was not suspicious mst of the times when I kept looking at the evidences while he was speaking to me.</x:v>
      </x:c>
      <x:c r="F8" s="44" t="str"/>
      <x:c r="G8" s="44" t="str">
        <x:v>CALIBRATION_BURDEN, FEEDBACK_UNNOTICED</x:v>
      </x:c>
      <x:c r="H8" s="44" t="str">
        <x:v>Calibration/recalibration or keeping still imposed effort.; Suspicion meter/vignette was not seen or did not trigger.</x:v>
      </x:c>
      <x:c r="I8" s="48" t="n">
        <x:v>0</x:v>
      </x:c>
    </x:row>
    <x:row r="9" ht="84" customHeight="1">
      <x:c r="A9" s="44" t="str">
        <x:v>P05 — Octavio</x:v>
      </x:c>
      <x:c r="B9" s="44" t="str">
        <x:v>Substantive</x:v>
      </x:c>
      <x:c r="C9" s="44" t="str">
        <x:v>Gathering visual information while avoiding suspicion from the npc made me feel pretty immersed</x:v>
      </x:c>
      <x:c r="D9" s="44" t="str">
        <x:v>Made doble think where to look during the interrogation. Every time the npc looked at me i felt tense, and when it looked away i felt relief.</x:v>
      </x:c>
      <x:c r="E9" s="44" t="str">
        <x:v>No, it was quite easy to comprehend</x:v>
      </x:c>
      <x:c r="F9" s="44" t="str"/>
      <x:c r="G9" s="44" t="str">
        <x:v>IMMERSION_STEALTH_OPPORTUNITY, NPC_TURN_TENSION, MODEL_UNDERSTOOD</x:v>
      </x:c>
      <x:c r="H9" s="44" t="str">
        <x:v>Covert search or NPC turn-away window supported engagement.; NPC gaze, sudden turns or uncertain safe windows created tension.; Participant articulated the intended gaze-to-suspicion rule.</x:v>
      </x:c>
      <x:c r="I9" s="48" t="n">
        <x:v>0</x:v>
      </x:c>
    </x:row>
    <x:row r="10" ht="84" customHeight="1">
      <x:c r="A10" s="44" t="str">
        <x:v>P06 — heeyun</x:v>
      </x:c>
      <x:c r="B10" s="44" t="str">
        <x:v>Partial</x:v>
      </x:c>
      <x:c r="C10" s="44" t="str"/>
      <x:c r="D10" s="44" t="str">
        <x:v>I think that makes me confused while playing the game because i felt like the gaze moving bothers game. it was hard to concentrate the game </x:v>
      </x:c>
      <x:c r="E10" s="44" t="str"/>
      <x:c r="F10" s="44" t="str"/>
      <x:c r="G10" s="44" t="str">
        <x:v>GAZE_DOT_DISTRACTION, IMMERSION_BARRIER, STORY_AUDIO_LOSS</x:v>
      </x:c>
      <x:c r="H10" s="44" t="str">
        <x:v>Visible gaze cursor or monitoring of gaze distracted from play.; Interface, modeling, calibration or mechanics disrupted immersion.; Attention to gaze/visual search reduced story or audio processing.</x:v>
      </x:c>
      <x:c r="I10" s="48" t="n">
        <x:v>6</x:v>
      </x:c>
    </x:row>
    <x:row r="11" ht="84" customHeight="1">
      <x:c r="A11" s="44" t="str">
        <x:v>P07 — yan</x:v>
      </x:c>
      <x:c r="B11" s="44" t="str">
        <x:v>Very brief / low information</x:v>
      </x:c>
      <x:c r="C11" s="44" t="str">
        <x:v>GOOD</x:v>
      </x:c>
      <x:c r="D11" s="44" t="str">
        <x:v>VERY GOOD</x:v>
      </x:c>
      <x:c r="E11" s="44" t="str">
        <x:v>VERY GOOD AMAZING</x:v>
      </x:c>
      <x:c r="F11" s="44" t="str">
        <x:v>WANDERFUL COOL</x:v>
      </x:c>
      <x:c r="G11" s="44" t="str">
        <x:v>LOW_INFORMATION</x:v>
      </x:c>
      <x:c r="H11" s="44" t="str">
        <x:v>Response was too brief, contradictory or interviewer-led for confident interpretation.</x:v>
      </x:c>
      <x:c r="I11" s="48" t="n">
        <x:v>0</x:v>
      </x:c>
    </x:row>
    <x:row r="12" ht="84" customHeight="1">
      <x:c r="A12" s="44" t="str">
        <x:v>P08 — Dragon</x:v>
      </x:c>
      <x:c r="B12" s="44" t="str">
        <x:v>Not coded</x:v>
      </x:c>
      <x:c r="C12" s="44" t="str"/>
      <x:c r="D12" s="44" t="str">
        <x:v>The gaze-based pointer makes me a bit nervous.</x:v>
      </x:c>
      <x:c r="E12" s="44" t="str">
        <x:v>nothing</x:v>
      </x:c>
      <x:c r="F12" s="44" t="str"/>
      <x:c r="G12" s="44" t="str"/>
      <x:c r="H12" s="44" t="str"/>
      <x:c r="I12" s="48" t="n">
        <x:v>4</x:v>
      </x:c>
    </x:row>
    <x:row r="13" ht="84" customHeight="1">
      <x:c r="A13" s="44" t="str">
        <x:v>P09 — Miller</x:v>
      </x:c>
      <x:c r="B13" s="44" t="str">
        <x:v>Not coded</x:v>
      </x:c>
      <x:c r="C13" s="44" t="str">
        <x:v>While intently listening and taking notes on clues</x:v>
      </x:c>
      <x:c r="D13" s="44" t="str">
        <x:v>just so-so</x:v>
      </x:c>
      <x:c r="E13" s="44" t="str">
        <x:v>No</x:v>
      </x:c>
      <x:c r="F13" s="44" t="str"/>
      <x:c r="G13" s="44" t="str"/>
      <x:c r="H13" s="44" t="str"/>
      <x:c r="I13" s="48" t="n">
        <x:v>2</x:v>
      </x:c>
    </x:row>
    <x:row r="14" ht="84" customHeight="1">
      <x:c r="A14" s="44" t="str">
        <x:v>P10 — Beate</x:v>
      </x:c>
      <x:c r="B14" s="44" t="str">
        <x:v>Substantive</x:v>
      </x:c>
      <x:c r="C14" s="44" t="str">
        <x:v>Beim Telefonieren konnte ich mich in Ruhe umgucken</x:v>
      </x:c>
      <x:c r="D14" s="44" t="str">
        <x:v>ich habe mir fast nur auf das Visuelle konzentiert und das Hoeren vergessen</x:v>
      </x:c>
      <x:c r="E14" s="44" t="str">
        <x:v>nein</x:v>
      </x:c>
      <x:c r="F14" s="44" t="str"/>
      <x:c r="G14" s="44" t="str">
        <x:v>IMMERSION_STEALTH_OPPORTUNITY, STORY_AUDIO_LOSS</x:v>
      </x:c>
      <x:c r="H14" s="44" t="str">
        <x:v>Covert search or NPC turn-away window supported engagement.; Attention to gaze/visual search reduced story or audio processing.</x:v>
      </x:c>
      <x:c r="I14" s="48" t="n">
        <x:v>2</x:v>
      </x:c>
    </x:row>
    <x:row r="15" ht="84" customHeight="1">
      <x:c r="A15" s="44" t="str">
        <x:v>P11 — Franzi</x:v>
      </x:c>
      <x:c r="B15" s="44" t="str">
        <x:v>Partial; Q2-Q3 missing</x:v>
      </x:c>
      <x:c r="C15" s="44" t="str">
        <x:v>non'e</x:v>
      </x:c>
      <x:c r="D15" s="44" t="str"/>
      <x:c r="E15" s="44" t="str"/>
      <x:c r="F15" s="44" t="str"/>
      <x:c r="G15" s="44" t="str">
        <x:v>LOW_INFORMATION</x:v>
      </x:c>
      <x:c r="H15" s="44" t="str">
        <x:v>Response was too brief, contradictory or interviewer-led for confident interpretation.</x:v>
      </x:c>
      <x:c r="I15" s="48" t="n">
        <x:v>6</x:v>
      </x:c>
    </x:row>
    <x:row r="16" ht="84" customHeight="1">
      <x:c r="A16" s="44" t="str">
        <x:v>P12 — Cindy</x:v>
      </x:c>
      <x:c r="B16" s="44" t="str">
        <x:v>Not coded</x:v>
      </x:c>
      <x:c r="C16" s="44" t="str">
        <x:v>The tense information-gathering process really sucks me in</x:v>
      </x:c>
      <x:c r="D16" s="44" t="str">
        <x:v>People staring at me makes me feel a little uncomfortable.</x:v>
      </x:c>
      <x:c r="E16" s="44" t="str">
        <x:v>no</x:v>
      </x:c>
      <x:c r="F16" s="44" t="str"/>
      <x:c r="G16" s="44" t="str"/>
      <x:c r="H16" s="44" t="str"/>
      <x:c r="I16" s="48" t="n">
        <x:v>2</x:v>
      </x:c>
    </x:row>
    <x:row r="17" ht="84" customHeight="1">
      <x:c r="A17" s="44" t="str">
        <x:v>P13 — Hanna</x:v>
      </x:c>
      <x:c r="B17" s="44" t="str">
        <x:v>Not coded</x:v>
      </x:c>
      <x:c r="C17" s="44" t="str">
        <x:v>Every time the protagonist turns around, I feel a spike of anxiety, which just pulls me deeper into the game</x:v>
      </x:c>
      <x:c r="D17" s="44" t="str">
        <x:v>"Eye tracking makes the game feel a lot easier.</x:v>
      </x:c>
      <x:c r="E17" s="44" t="str">
        <x:v>yes</x:v>
      </x:c>
      <x:c r="F17" s="44" t="str"/>
      <x:c r="G17" s="44" t="str"/>
      <x:c r="H17" s="44" t="str"/>
      <x:c r="I17" s="48" t="n">
        <x:v>2</x:v>
      </x:c>
    </x:row>
    <x:row r="18" ht="84" customHeight="1">
      <x:c r="A18" s="44" t="str">
        <x:v>P14 — Claire</x:v>
      </x:c>
      <x:c r="B18" s="44" t="str">
        <x:v>Not coded</x:v>
      </x:c>
      <x:c r="C18" s="44" t="str">
        <x:v>"I wasn't fully immersed at first, but about a minute into the game, I started to get into the zone</x:v>
      </x:c>
      <x:c r="D18" s="44" t="str">
        <x:v>not sure</x:v>
      </x:c>
      <x:c r="E18" s="44" t="str">
        <x:v>no</x:v>
      </x:c>
      <x:c r="F18" s="44" t="str"/>
      <x:c r="G18" s="44" t="str"/>
      <x:c r="H18" s="44" t="str"/>
      <x:c r="I18" s="48" t="n">
        <x:v>2</x:v>
      </x:c>
    </x:row>
    <x:row r="19" ht="84" customHeight="1">
      <x:c r="A19" s="44" t="str">
        <x:v>P15 — Martina</x:v>
      </x:c>
      <x:c r="B19" s="44" t="str">
        <x:v>Substantive</x:v>
      </x:c>
      <x:c r="C19" s="44" t="str">
        <x:v>Martina
Als der Inspektor sich plötzlich in die andere Richtung gedreht hat, war ich etwas irritiert und wusste nicht, ob er sich im nächsten Moment plitzschnell umdreht und mich verdächtigt.</x:v>
      </x:c>
      <x:c r="D19" s="44" t="str">
        <x:v>Man versucht natürlich so unauffällig wie möglich die Hinweise im Raum zu erfassen.</x:v>
      </x:c>
      <x:c r="E19" s="44" t="str">
        <x:v>Wie bereits erwähnt war das für mich der Moment, in dem er sich in die andere Richtung gedreht hat.</x:v>
      </x:c>
      <x:c r="F19" s="44" t="str"/>
      <x:c r="G19" s="44" t="str">
        <x:v>NPC_TURN_TENSION, MODEL_AMBIGUITY, IMMERSION_STEALTH_OPPORTUNITY</x:v>
      </x:c>
      <x:c r="H19" s="44" t="str">
        <x:v>NPC gaze, sudden turns or uncertain safe windows created tension.; Participant could not explain or perceived inconsistency in system behavior.; Covert search or NPC turn-away window supported engagement.</x:v>
      </x:c>
      <x:c r="I19" s="48" t="n">
        <x:v>0</x:v>
      </x:c>
    </x:row>
    <x:row r="20" ht="84" customHeight="1">
      <x:c r="A20" s="44" t="str">
        <x:v>P16 — SebastianH</x:v>
      </x:c>
      <x:c r="B20" s="44" t="str">
        <x:v>Substantive</x:v>
      </x:c>
      <x:c r="C20" s="44" t="str">
        <x:v>The dot was sometimes distracting</x:v>
      </x:c>
      <x:c r="D20" s="44" t="str">
        <x:v>I tried to look at the detective in order to not raise suspission</x:v>
      </x:c>
      <x:c r="E20" s="44" t="str">
        <x:v>no</x:v>
      </x:c>
      <x:c r="F20" s="44" t="str"/>
      <x:c r="G20" s="44" t="str">
        <x:v>GAZE_DOT_DISTRACTION, GAZE_OVERCONTROL</x:v>
      </x:c>
      <x:c r="H20" s="44" t="str">
        <x:v>Visible gaze cursor or monitoring of gaze distracted from play.; Participant adopted rigid/frozen gaze to avoid suspicion.</x:v>
      </x:c>
      <x:c r="I20" s="48" t="n">
        <x:v>2</x:v>
      </x:c>
    </x:row>
    <x:row r="21" ht="84" customHeight="1">
      <x:c r="A21" s="44" t="str">
        <x:v>P17 — Domi</x:v>
      </x:c>
      <x:c r="B21" s="44" t="str">
        <x:v>Substantive</x:v>
      </x:c>
      <x:c r="C21" s="44" t="str">
        <x:v>The interrogation situation highlighted by the red color.</x:v>
      </x:c>
      <x:c r="D21" s="44" t="str">
        <x:v>I tried to look at the main character after seeing the red color and was wondering how long I need to look at him again to lower his suspision. </x:v>
      </x:c>
      <x:c r="E21" s="44" t="str">
        <x:v>I was expecting color changes like darker red for more suspision.</x:v>
      </x:c>
      <x:c r="F21" s="44" t="str"/>
      <x:c r="G21" s="44" t="str">
        <x:v>NPC_TURN_TENSION, FEEDBACK_GRANULARITY, MODEL_AMBIGUITY</x:v>
      </x:c>
      <x:c r="H21" s="44" t="str">
        <x:v>NPC gaze, sudden turns or uncertain safe windows created tension.; Participant wanted clearer or graded feedback about suspicion state.; Participant could not explain or perceived inconsistency in system behavior.</x:v>
      </x:c>
      <x:c r="I21" s="48" t="n">
        <x:v>2</x:v>
      </x:c>
    </x:row>
    <x:row r="22" ht="84" customHeight="1">
      <x:c r="A22" s="44" t="str">
        <x:v>P18 — Michael</x:v>
      </x:c>
      <x:c r="B22" s="44" t="str">
        <x:v>Partial; Q1 missing</x:v>
      </x:c>
      <x:c r="C22" s="44" t="str"/>
      <x:c r="D22" s="44" t="str">
        <x:v>You are more concentated in your eye movement and do not follow the story.</x:v>
      </x:c>
      <x:c r="E22" s="44" t="str">
        <x:v>There was nothing which confusing me. </x:v>
      </x:c>
      <x:c r="F22" s="44" t="str"/>
      <x:c r="G22" s="44" t="str">
        <x:v>STORY_AUDIO_LOSS, MODEL_UNDERSTOOD</x:v>
      </x:c>
      <x:c r="H22" s="44" t="str">
        <x:v>Attention to gaze/visual search reduced story or audio processing.; Participant articulated the intended gaze-to-suspicion rule.</x:v>
      </x:c>
      <x:c r="I22" s="48" t="n">
        <x:v>4</x:v>
      </x:c>
    </x:row>
    <x:row r="23" ht="84" customHeight="1">
      <x:c r="A23" s="44" t="str">
        <x:v>P19 — MarkusK</x:v>
      </x:c>
      <x:c r="B23" s="44" t="str">
        <x:v>Partial; Q1 missing</x:v>
      </x:c>
      <x:c r="C23" s="44" t="str"/>
      <x:c r="D23" s="44" t="str">
        <x:v>habe mich zu sehr auf meinen Blick konzentriert</x:v>
      </x:c>
      <x:c r="E23" s="44" t="str">
        <x:v>hat sich nicht geändert, weil ich die ganze zeit den Typen angeschaut habe</x:v>
      </x:c>
      <x:c r="F23" s="44" t="str"/>
      <x:c r="G23" s="44" t="str">
        <x:v>GAZE_OVERCONTROL, FEEDBACK_UNNOTICED</x:v>
      </x:c>
      <x:c r="H23" s="44" t="str">
        <x:v>Participant adopted rigid/frozen gaze to avoid suspicion.; Suspicion meter/vignette was not seen or did not trigger.</x:v>
      </x:c>
      <x:c r="I23" s="48" t="n">
        <x:v>2</x:v>
      </x:c>
    </x:row>
    <x:row r="26" ht="22" customHeight="1">
      <x:c r="A26" s="24" t="str">
        <x:v>Question wording</x:v>
      </x:c>
      <x:c r="B26" s="25"/>
      <x:c r="C26" s="25"/>
      <x:c r="D26" s="25"/>
      <x:c r="E26" s="25"/>
      <x:c r="F26" s="25"/>
      <x:c r="G26" s="25"/>
      <x:c r="H26" s="25"/>
      <x:c r="I26" s="26"/>
    </x:row>
    <x:row r="27" ht="30" customHeight="1">
      <x:c r="A27" s="76" t="str">
        <x:v>A101_01</x:v>
      </x:c>
      <x:c r="B27" s="77" t="str">
        <x:v>What moments made you feel most immersed or least immersed in the game?</x:v>
      </x:c>
      <x:c r="C27" s="77"/>
      <x:c r="D27" s="77"/>
      <x:c r="E27" s="77"/>
      <x:c r="F27" s="77"/>
      <x:c r="G27" s="77"/>
      <x:c r="H27" s="77"/>
      <x:c r="I27" s="78"/>
    </x:row>
    <x:row r="28" ht="30" customHeight="1">
      <x:c r="A28" s="76" t="str">
        <x:v>A101_02</x:v>
      </x:c>
      <x:c r="B28" s="77" t="str">
        <x:v>How did the gaze-based suspicion system affect the way you played?</x:v>
      </x:c>
      <x:c r="C28" s="77"/>
      <x:c r="D28" s="77"/>
      <x:c r="E28" s="77"/>
      <x:c r="F28" s="77"/>
      <x:c r="G28" s="77"/>
      <x:c r="H28" s="77"/>
      <x:c r="I28" s="78"/>
    </x:row>
    <x:row r="29" ht="30" customHeight="1">
      <x:c r="A29" s="76" t="str">
        <x:v>A101_03</x:v>
      </x:c>
      <x:c r="B29" s="77" t="str">
        <x:v>Was there anything confusing or unexpected about how the suspicion level changed?</x:v>
      </x:c>
      <x:c r="C29" s="77"/>
      <x:c r="D29" s="77"/>
      <x:c r="E29" s="77"/>
      <x:c r="F29" s="77"/>
      <x:c r="G29" s="77"/>
      <x:c r="H29" s="77"/>
      <x:c r="I29" s="78"/>
    </x:row>
  </x:sheetData>
  <x:mergeCells>
    <x:mergeCell ref="A1:I1"/>
    <x:mergeCell ref="A2:I2"/>
    <x:mergeCell ref="A26:I26"/>
    <x:mergeCell ref="B27:I27"/>
    <x:mergeCell ref="B28:I28"/>
    <x:mergeCell ref="B29:I29"/>
  </x:mergeCells>
  <x:conditionalFormatting sqref="B5:B23">
    <x:cfRule type="containsText" dxfId="0" priority="1" operator="containsText" text="Miss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32" hidden="0" customWidth="1"/>
    <x:col min="5" max="5" width="42" hidden="0" customWidth="1"/>
    <x:col min="6" max="6" width="28" hidden="0" customWidth="1"/>
    <x:col min="7" max="7" width="28" hidden="0" customWidth="1"/>
    <x:col min="8" max="8" width="42" hidden="0" customWidth="1"/>
    <x:col min="9" max="9" width="42" hidden="0" customWidth="1"/>
    <x:col min="10" max="10" width="42" hidden="0" customWidth="1"/>
    <x:col min="11" max="11" width="12" hidden="0" customWidth="1"/>
  </x:cols>
  <x:sheetData>
    <x:row r="1" ht="30" customHeight="1">
      <x:c r="A1" s="3" t="str">
        <x:v>Integrated key insights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7" t="str">
        <x:v>Mixed-method interpretation: GEQ and custom questionnaire (n=19) are triangulated with 19 participant interviews. Interview counts are coded-participant counts, not population estimates.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58" customHeight="1">
      <x:c r="A3" s="56" t="str">
        <x:v>Evidence type: Convergence = questionnaire statistics and interview themes support the same conclusion; Qualitative = coded interview or open-response evidence rather than a numerical effect size; Quantitative = questionnaire scores and statistics. Magnitude reports a descriptive mean score or coded-participant count, not an inferential effect size.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8"/>
    </x:row>
    <x:row r="4">
      <x:c r="A4" s="35" t="str">
        <x:v>Insight</x:v>
      </x:c>
      <x:c r="B4" s="36" t="str">
        <x:v>Evidence type</x:v>
      </x:c>
      <x:c r="C4" s="36" t="str">
        <x:v>Magnitude</x:v>
      </x:c>
      <x:c r="D4" s="36" t="str">
        <x:v>Participants</x:v>
      </x:c>
      <x:c r="E4" s="36" t="str">
        <x:v>Representative evidence</x:v>
      </x:c>
      <x:c r="F4" s="36" t="str">
        <x:v>Source</x:v>
      </x:c>
      <x:c r="G4" s="36" t="str">
        <x:v>Linked measure/framework</x:v>
      </x:c>
      <x:c r="H4" s="36" t="str">
        <x:v>Interpretation</x:v>
      </x:c>
      <x:c r="I4" s="36" t="str">
        <x:v>Design implication</x:v>
      </x:c>
      <x:c r="J4" s="36" t="str">
        <x:v>Caveat</x:v>
      </x:c>
      <x:c r="K4" s="37" t="str">
        <x:v>Priority</x:v>
      </x:c>
    </x:row>
    <x:row r="5" ht="90" customHeight="1">
      <x:c r="A5" s="43" t="str">
        <x:v>Tracking accuracy is trusted, but behavioral understanding lags</x:v>
      </x:c>
      <x:c r="B5" s="43" t="str">
        <x:v>Convergence</x:v>
      </x:c>
      <x:c r="C5" s="43" t="str">
        <x:v>Custom Q1 mean 4.47/5; TRACKING_TRUST 18/19</x:v>
      </x:c>
      <x:c r="D5" s="43" t="str">
        <x:v>P01 — song, P02 — diane, P03 — Andy, P04 — Madan, P05 — Octavio, P06 — heeyun, P07 — yan, P09 — Miller, P10 — Beate, P11 — Franzi, P12 — Cindy, P13 — Hanna, P14 — Claire, P15 — Martina, P16 — SebastianH, P17 — Domi, P18 — Michael, P19 — MarkusK</x:v>
      </x:c>
      <x:c r="E5" s="43" t="str">
        <x:v>The dot was following where I looked.</x:v>
      </x:c>
      <x:c r="F5" s="43" t="str">
        <x:v>Participant 03, Q6</x:v>
      </x:c>
      <x:c r="G5" s="43" t="str">
        <x:v>Custom Q1/Q2/Q5; automation trust</x:v>
      </x:c>
      <x:c r="H5" s="43" t="str">
        <x:v>Users often trust sensing accuracy without understanding suspicion logic.</x:v>
      </x:c>
      <x:c r="I5" s="43" t="str">
        <x:v>Separate tracking feedback from suspicion-state feedback; explain both during onboarding.</x:v>
      </x:c>
      <x:c r="J5" s="43" t="str">
        <x:v>Trust evidence is strong; system-behavior understanding is distinct.</x:v>
      </x:c>
      <x:c r="K5" s="43" t="str">
        <x:v>High</x:v>
      </x:c>
    </x:row>
    <x:row r="6" ht="90" customHeight="1">
      <x:c r="A6" s="44" t="str">
        <x:v>Suspicion feedback is frequently unseen or uninformative</x:v>
      </x:c>
      <x:c r="B6" s="44" t="str">
        <x:v>Convergence</x:v>
      </x:c>
      <x:c r="C6" s="44" t="str">
        <x:v>Custom Q4 3.68/5; Q5 3.63/5; FEEDBACK_UNNOTICED 13/19</x:v>
      </x:c>
      <x:c r="D6" s="44" t="str">
        <x:v>P01 — song, P02 — diane, P03 — Andy, P04 — Madan, P05 — Octavio, P07 — yan, P08 — Dragon, P11 — Franzi, P12 — Cindy, P14 — Claire, P17 — Domi, P18 — Michael, P19 — MarkusK</x:v>
      </x:c>
      <x:c r="E6" s="44" t="str">
        <x:v>I didn’t notice any suspicion meter.</x:v>
      </x:c>
      <x:c r="F6" s="44" t="str">
        <x:v>Participant 03, Q5</x:v>
      </x:c>
      <x:c r="G6" s="44" t="str">
        <x:v>Custom Q3–Q5; GEQ challenge</x:v>
      </x:c>
      <x:c r="H6" s="44" t="str">
        <x:v>The lowest custom means concern why suspicion changes and whether feedback matches expectations.</x:v>
      </x:c>
      <x:c r="I6" s="44" t="str">
        <x:v>Make state changes more salient, graded and causally legible without removing tension.</x:v>
      </x:c>
      <x:c r="J6" s="44" t="str">
        <x:v>Some cautious players never triggered feedback, so non-observation may reflect behavior as well as UI.</x:v>
      </x:c>
      <x:c r="K6" s="44" t="str">
        <x:v>High</x:v>
      </x:c>
    </x:row>
    <x:row r="7" ht="90" customHeight="1">
      <x:c r="A7" s="44" t="str">
        <x:v>The core mechanic creates a meaningful divided-attention trade-off</x:v>
      </x:c>
      <x:c r="B7" s="44" t="str">
        <x:v>Convergence</x:v>
      </x:c>
      <x:c r="C7" s="44" t="str">
        <x:v>DUAL_TASK_LOAD 10/19; STORY_AUDIO_LOSS 7/19; Custom Q8 3.00/5</x:v>
      </x:c>
      <x:c r="D7" s="44" t="str">
        <x:v>P02 — diane, P04 — Madan, P05 — Octavio, P06 — heeyun, P08 — Dragon, P12 — Cindy, P14 — Claire, P15 — Martina, P16 — SebastianH, P17 — Domi</x:v>
      </x:c>
      <x:c r="E7" s="44" t="str">
        <x:v>trying to remember what he was saying…at the same time looking around for clues</x:v>
      </x:c>
      <x:c r="F7" s="44" t="str">
        <x:v>Participant 05, Q3</x:v>
      </x:c>
      <x:c r="G7" s="44" t="str">
        <x:v>GEQ Flow/Challenge; Custom Q6–Q8</x:v>
      </x:c>
      <x:c r="H7" s="44" t="str">
        <x:v>Visual search, eye contact and audio memory compete; this is engaging for some and disruptive for others.</x:v>
      </x:c>
      <x:c r="I7" s="44" t="str">
        <x:v>Tune audio density and clue timing; provide short pauses or clearer prioritization cues.</x:v>
      </x:c>
      <x:c r="J7" s="44" t="str">
        <x:v>This tension is a design feature, but current load sometimes harms story comprehension.</x:v>
      </x:c>
      <x:c r="K7" s="44" t="str">
        <x:v>High</x:v>
      </x:c>
    </x:row>
    <x:row r="8" ht="90" customHeight="1">
      <x:c r="A8" s="44" t="str">
        <x:v>NPC turn-away and phone-call windows are the strongest recurring interaction moments</x:v>
      </x:c>
      <x:c r="B8" s="44" t="str">
        <x:v>Qualitative</x:v>
      </x:c>
      <x:c r="C8" s="44" t="str">
        <x:v>NPC_TURN_TENSION 11/19; IMMERSION_STEALTH_OPPORTUNITY 7/19</x:v>
      </x:c>
      <x:c r="D8" s="44" t="str">
        <x:v>P02 — diane, P05 — Octavio, P08 — Dragon, P09 — Miller, P10 — Beate, P11 — Franzi, P15 — Martina</x:v>
      </x:c>
      <x:c r="E8" s="44" t="str">
        <x:v>when he looked away, I felt a sense of relief</x:v>
      </x:c>
      <x:c r="F8" s="44" t="str">
        <x:v>Participant 05, Q2</x:v>
      </x:c>
      <x:c r="G8" s="44" t="str">
        <x:v>GEQ Immersion/Flow/Challenge</x:v>
      </x:c>
      <x:c r="H8" s="44" t="str">
        <x:v>The same event creates relief, covert agency, uncertainty and time pressure.</x:v>
      </x:c>
      <x:c r="I8" s="44" t="str">
        <x:v>Preserve these windows; improve timing cues enough to support learning while retaining uncertainty.</x:v>
      </x:c>
      <x:c r="J8" s="44" t="str">
        <x:v>Participants differed: one found turn-away least immersive, showing heterogeneous effects.</x:v>
      </x:c>
      <x:c r="K8" s="44" t="str">
        <x:v>High</x:v>
      </x:c>
    </x:row>
    <x:row r="9" ht="90" customHeight="1">
      <x:c r="A9" s="44" t="str">
        <x:v>Ambiguous feedback encourages over-conservative gaze</x:v>
      </x:c>
      <x:c r="B9" s="44" t="str">
        <x:v>Qualitative</x:v>
      </x:c>
      <x:c r="C9" s="44" t="str">
        <x:v>GAZE_OVERCONTROL 7/19; MODEL_AMBIGUITY 9/19</x:v>
      </x:c>
      <x:c r="D9" s="44" t="str">
        <x:v>P01 — song, P02 — diane, P03 — Andy, P05 — Octavio, P11 — Franzi, P13 — Hanna, P15 — Martina</x:v>
      </x:c>
      <x:c r="E9" s="44" t="str">
        <x:v>I didn't notice the vignette because I was so focused on not looking suspicious.</x:v>
      </x:c>
      <x:c r="F9" s="44" t="str">
        <x:v>Participant 05, Q5</x:v>
      </x:c>
      <x:c r="G9" s="44" t="str">
        <x:v>Custom Q3–Q5; appropriate reliance</x:v>
      </x:c>
      <x:c r="H9" s="44" t="str">
        <x:v>Some players froze gaze or avoided exploration, preventing both evidence gathering and learning from feedback.</x:v>
      </x:c>
      <x:c r="I9" s="44" t="str">
        <x:v>Use a safe practice trial and show recovery/decay behavior so players can calibrate risk.</x:v>
      </x:c>
      <x:c r="J9" s="44" t="str">
        <x:v>Over-control can suppress feedback, creating a self-reinforcing ambiguity loop.</x:v>
      </x:c>
      <x:c r="K9" s="44" t="str">
        <x:v>High</x:v>
      </x:c>
    </x:row>
    <x:row r="10" ht="90" customHeight="1">
      <x:c r="A10" s="44" t="str">
        <x:v>Overall affect is positive with moderate immersion and flow</x:v>
      </x:c>
      <x:c r="B10" s="44" t="str">
        <x:v>Quantitative</x:v>
      </x:c>
      <x:c r="C10" s="44" t="str">
        <x:v>Positive affect 2.91/4; immersion 2.75/4; flow 2.47/4</x:v>
      </x:c>
      <x:c r="D10" s="44" t="str">
        <x:v>19 questionnaire participants</x:v>
      </x:c>
      <x:c r="E10" s="44" t="str"/>
      <x:c r="F10" s="44" t="str">
        <x:v>GEQ_33 component summary</x:v>
      </x:c>
      <x:c r="G10" s="44" t="str">
        <x:v>Official GEQ component means</x:v>
      </x:c>
      <x:c r="H10" s="44" t="str">
        <x:v>The prototype generally produced positive experience without high negative affect.</x:v>
      </x:c>
      <x:c r="I10" s="44" t="str">
        <x:v>Prioritize usability/feedback refinements without flattening the successful stealth tension.</x:v>
      </x:c>
      <x:c r="J10" s="44" t="str">
        <x:v>Small n; descriptive only. GEQ seven-factor structure has published validation concerns.</x:v>
      </x:c>
      <x:c r="K10" s="44" t="str">
        <x:v>Medium</x:v>
      </x:c>
    </x:row>
    <x:row r="11" ht="90" customHeight="1">
      <x:c r="A11" s="44" t="str">
        <x:v>The gaze cursor is both evidence of accuracy and a source of distraction</x:v>
      </x:c>
      <x:c r="B11" s="44" t="str">
        <x:v>Qualitative</x:v>
      </x:c>
      <x:c r="C11" s="44" t="str">
        <x:v>GAZE_DOT_DISTRACTION 3/19; TRACKING_TRUST 18/19</x:v>
      </x:c>
      <x:c r="D11" s="44" t="str">
        <x:v>P06 — heeyun, P16 — SebastianH, P19 — MarkusK</x:v>
      </x:c>
      <x:c r="E11" s="44" t="str">
        <x:v>The dot distracted me</x:v>
      </x:c>
      <x:c r="F11" s="44" t="str">
        <x:v>Participant 16, Q3</x:v>
      </x:c>
      <x:c r="G11" s="44" t="str">
        <x:v>Custom Q1/Q2/Q8</x:v>
      </x:c>
      <x:c r="H11" s="44" t="str">
        <x:v>The cursor supports trust but may pull attention from narrative content.</x:v>
      </x:c>
      <x:c r="I11" s="44" t="str">
        <x:v>Consider fading/hiding the cursor after calibration or offering an accessibility/debug toggle.</x:v>
      </x:c>
      <x:c r="J11" s="44" t="str">
        <x:v>Only three participants explicitly called it distracting, but many cited it as the basis of trust.</x:v>
      </x:c>
      <x:c r="K11" s="44" t="str">
        <x:v>Medium</x:v>
      </x:c>
    </x:row>
    <x:row r="12" ht="90" customHeight="1">
      <x:c r="A12" s="44" t="str">
        <x:v>Calibration and posture requirements can break immersion</x:v>
      </x:c>
      <x:c r="B12" s="44" t="str">
        <x:v>Qualitative</x:v>
      </x:c>
      <x:c r="C12" s="44" t="str">
        <x:v>CALIBRATION_BURDEN 3/19; TRACKING_CONDITIONAL 1/19</x:v>
      </x:c>
      <x:c r="D12" s="44" t="str">
        <x:v>P06 — heeyun, P08 — Dragon, P11 — Franzi</x:v>
      </x:c>
      <x:c r="E12" s="44" t="str">
        <x:v>Tracking was accurate only when my head and body remained still.</x:v>
      </x:c>
      <x:c r="F12" s="44" t="str">
        <x:v>Participant 08, 00:02:39–00:02:48</x:v>
      </x:c>
      <x:c r="G12" s="44" t="str">
        <x:v>Immersion; tracking trust</x:v>
      </x:c>
      <x:c r="H12" s="44" t="str">
        <x:v>Tracking quality is high when calibrated, but repeated setup and self-monitoring impose friction.</x:v>
      </x:c>
      <x:c r="I12" s="44" t="str">
        <x:v>Improve calibration robustness, posture tolerance and recovery messaging.</x:v>
      </x:c>
      <x:c r="J12" s="44" t="str">
        <x:v>Conditional tracking was explicit in one interview; calibration burden in three.</x:v>
      </x:c>
      <x:c r="K12" s="44" t="str">
        <x:v>Medium</x:v>
      </x:c>
    </x:row>
    <x:row r="13" ht="90" customHeight="1">
      <x:c r="A13" s="44" t="str">
        <x:v>Some users need clearer goal framing before play</x:v>
      </x:c>
      <x:c r="B13" s="44" t="str">
        <x:v>Qualitative</x:v>
      </x:c>
      <x:c r="C13" s="44" t="str">
        <x:v>GOAL_AMBIGUITY 2/19</x:v>
      </x:c>
      <x:c r="D13" s="44" t="str">
        <x:v>P06 — heeyun, P11 — Franzi</x:v>
      </x:c>
      <x:c r="E13" s="44" t="str">
        <x:v>I didn't know that I had to look at the things around me.</x:v>
      </x:c>
      <x:c r="F13" s="44" t="str">
        <x:v>Participant 11, 00:09:35–00:09:47</x:v>
      </x:c>
      <x:c r="G13" s="44" t="str">
        <x:v>Competence; mental model</x:v>
      </x:c>
      <x:c r="H13" s="44" t="str">
        <x:v>Most understood information gathering, but a minority missed the dual goal and therefore played defensively.</x:v>
      </x:c>
      <x:c r="I13" s="44" t="str">
        <x:v>State both goals explicitly: collect visual/audio evidence and manage suspicion through natural gaze.</x:v>
      </x:c>
      <x:c r="J13" s="44" t="str">
        <x:v>Low count, high severity because misunderstanding changes the entire play strategy.</x:v>
      </x:c>
      <x:c r="K13" s="44" t="str">
        <x:v>Medium</x:v>
      </x:c>
    </x:row>
    <x:row r="16" ht="22" customHeight="1">
      <x:c r="A16" s="24" t="str">
        <x:v>Method and research references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6"/>
    </x:row>
    <x:row r="17">
      <x:c r="A17" s="35" t="str">
        <x:v>Use</x:v>
      </x:c>
      <x:c r="B17" s="36" t="str">
        <x:v>Reference</x:v>
      </x:c>
      <x:c r="C17" s="36" t="str">
        <x:v>How applied</x:v>
      </x:c>
      <x:c r="D17" s="37" t="str">
        <x:v>URL</x:v>
      </x:c>
    </x:row>
    <x:row r="18" ht="46" customHeight="1">
      <x:c r="A18" s="43" t="str">
        <x:v>GEQ scoring</x:v>
      </x:c>
      <x:c r="B18" s="43" t="str">
        <x:v>IJsselsteijn, de Kort &amp; Poels, The Game Experience Questionnaire</x:v>
      </x:c>
      <x:c r="C18" s="43" t="str">
        <x:v>Official seven components; component score = average of listed items</x:v>
      </x:c>
      <x:c r="D18" s="43" t="str">
        <x:v>https://pure.tue.nl/ws/portalfiles/portal/21666907/Game_Experience_Questionnaire_English.pdf</x:v>
      </x:c>
    </x:row>
    <x:row r="19" ht="46" customHeight="1">
      <x:c r="A19" s="44" t="str">
        <x:v>GEQ validity caution</x:v>
      </x:c>
      <x:c r="B19" s="44" t="str">
        <x:v>Johnson, Gardner &amp; Perry (2018)</x:v>
      </x:c>
      <x:c r="C19" s="44" t="str">
        <x:v>Seven-factor structure only partially supported; revised structure proposed</x:v>
      </x:c>
      <x:c r="D19" s="44" t="str">
        <x:v>https://doi.org/10.1016/j.ijhcs.2018.05.003</x:v>
      </x:c>
    </x:row>
    <x:row r="20" ht="46" customHeight="1">
      <x:c r="A20" s="44" t="str">
        <x:v>GEQ reporting caution</x:v>
      </x:c>
      <x:c r="B20" s="44" t="str">
        <x:v>Law, Brühlmann &amp; Mekler (2018)</x:v>
      </x:c>
      <x:c r="C20" s="44" t="str">
        <x:v>Systematic review and validation found reporting and factor-structure concerns</x:v>
      </x:c>
      <x:c r="D20" s="44" t="str">
        <x:v>https://figshare.le.ac.uk/articles/conference_contribution/10208981</x:v>
      </x:c>
    </x:row>
    <x:row r="21" ht="46" customHeight="1">
      <x:c r="A21" s="44" t="str">
        <x:v>Thematic analysis</x:v>
      </x:c>
      <x:c r="B21" s="44" t="str">
        <x:v>Braun &amp; Clarke (2006)</x:v>
      </x:c>
      <x:c r="C21" s="44" t="str">
        <x:v>Flexible six-phase thematic analysis; here used in hybrid deductive-inductive form</x:v>
      </x:c>
      <x:c r="D21" s="44" t="str">
        <x:v>https://doi.org/10.1191/1478088706qp063oa</x:v>
      </x:c>
    </x:row>
    <x:row r="22" ht="46" customHeight="1">
      <x:c r="A22" s="44" t="str">
        <x:v>Immersion</x:v>
      </x:c>
      <x:c r="B22" s="44" t="str">
        <x:v>Jennett et al. (2008)</x:v>
      </x:c>
      <x:c r="C22" s="44" t="str">
        <x:v>Immersion as involvement that can be disrupted by interface and attentional demands</x:v>
      </x:c>
      <x:c r="D22" s="44" t="str">
        <x:v>https://doi.org/10.1016/j.ijhcs.2008.04.004</x:v>
      </x:c>
    </x:row>
    <x:row r="23" ht="46" customHeight="1">
      <x:c r="A23" s="44" t="str">
        <x:v>Trust in automation</x:v>
      </x:c>
      <x:c r="B23" s="44" t="str">
        <x:v>Lee &amp; See (2004)</x:v>
      </x:c>
      <x:c r="C23" s="44" t="str">
        <x:v>Distinguish appropriate reliance and system understanding from undifferentiated trust</x:v>
      </x:c>
      <x:c r="D23" s="44" t="str">
        <x:v>https://doi.org/10.1518/hfes.46.1.50_30392</x:v>
      </x:c>
    </x:row>
  </x:sheetData>
  <x:mergeCells>
    <x:mergeCell ref="A1:K1"/>
    <x:mergeCell ref="A2:K2"/>
    <x:mergeCell ref="A3:K3"/>
    <x:mergeCell ref="A16:K16"/>
  </x:mergeCells>
  <x:conditionalFormatting sqref="K5:K13">
    <x:cfRule type="containsText" dxfId="1" priority="1" operator="containsText" text="High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P01 — song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Moderate; short answers and some interviewer explanation.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song</x:v>
      </x:c>
      <x:c r="H5" s="43"/>
    </x:row>
    <x:row r="6">
      <x:c r="A6" s="43" t="str">
        <x:v>Competence</x:v>
      </x:c>
      <x:c r="B6" s="45" t="n">
        <x:f>'GEQ_33'!C17</x:f>
        <x:v>2</x:v>
      </x:c>
      <x:c r="C6" s="43" t="str">
        <x:v>I felt the system correctly detected where I was looking.</x:v>
      </x:c>
      <x:c r="D6" s="47" t="n">
        <x:f>'Custom_Raw'!B5</x:f>
        <x:v>4</x:v>
      </x:c>
      <x:c r="F6" s="44" t="str">
        <x:v>Age (source AS)</x:v>
      </x:c>
      <x:c r="G6" s="44" t="n">
        <x:v>40</x:v>
      </x:c>
      <x:c r="H6" s="44"/>
    </x:row>
    <x:row r="7">
      <x:c r="A7" s="44" t="str">
        <x:v>Sensory &amp; imaginative immersion</x:v>
      </x:c>
      <x:c r="B7" s="46" t="n">
        <x:f>'GEQ_33'!D17</x:f>
        <x:v>2</x:v>
      </x:c>
      <x:c r="C7" s="44" t="str">
        <x:v>My eye movements felt like a natural part of the gameplay.</x:v>
      </x:c>
      <x:c r="D7" s="48" t="n">
        <x:f>'Custom_Raw'!C5</x:f>
        <x:v>4</x:v>
      </x:c>
      <x:c r="F7" s="44" t="str">
        <x:v>Raw B103 / B104</x:v>
      </x:c>
      <x:c r="G7" s="44" t="str">
        <x:v>1 / 1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'GEQ_33'!E17</x:f>
        <x:v>2</x:v>
      </x:c>
      <x:c r="C8" s="44" t="str">
        <x:v>I understood that looking at certain areas could affect the suspicion level.</x:v>
      </x:c>
      <x:c r="D8" s="48" t="n">
        <x:f>'Custom_Raw'!D5</x:f>
        <x:v>4</x:v>
      </x:c>
      <x:c r="F8" s="44" t="str">
        <x:v>Missing %</x:v>
      </x:c>
      <x:c r="G8" s="44" t="n">
        <x:v>8</x:v>
      </x:c>
      <x:c r="H8" s="44"/>
    </x:row>
    <x:row r="9">
      <x:c r="A9" s="44" t="str">
        <x:v>Tension / annoyance</x:v>
      </x:c>
      <x:c r="B9" s="46" t="n">
        <x:f>'GEQ_33'!F17</x:f>
        <x:v>2</x:v>
      </x:c>
      <x:c r="C9" s="44" t="str">
        <x:v>I understood why the suspicion level increased or decreased during the game.</x:v>
      </x:c>
      <x:c r="D9" s="48" t="n">
        <x:f>'Custom_Raw'!E5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'GEQ_33'!G17</x:f>
        <x:v>2</x:v>
      </x:c>
      <x:c r="C10" s="44" t="str">
        <x:v>The suspicion meter responded to my gaze in a way that matched my expectations.</x:v>
      </x:c>
      <x:c r="D10" s="48" t="n">
        <x:f>'Custom_Raw'!F5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'GEQ_33'!H17</x:f>
        <x:v>2</x:v>
      </x:c>
      <x:c r="C11" s="44" t="str">
        <x:v>I felt challenged by having to gather information while controlling my gaze.</x:v>
      </x:c>
      <x:c r="D11" s="48" t="n">
        <x:f>'Custom_Raw'!G5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'GEQ_33'!I17</x:f>
        <x:v>2</x:v>
      </x:c>
      <x:c r="C12" s="44" t="str">
        <x:v>The gaze-based suspicion mechanic made the interrogation feel more tense.</x:v>
      </x:c>
      <x:c r="D12" s="48" t="n">
        <x:f>'Custom_Raw'!H5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'Custom_Raw'!I5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goal as gathering intelligence.</x:v>
      </x:c>
      <x:c r="D17" s="43" t="str">
        <x:v>English summary: Understood the goal as gathering intelligence.</x:v>
      </x:c>
      <x:c r="E17" s="43" t="str">
        <x:v>00:00:12–00:00:16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Moderate; short answers and some interviewer explanation.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Reported some immersion, but did not identify a specific moment.</x:v>
      </x:c>
      <x:c r="D18" s="44" t="str">
        <x:v>English summary: Reported some immersion, but did not identify a specific moment.</x:v>
      </x:c>
      <x:c r="E18" s="44" t="str">
        <x:v>00:00:40–00:00:45</x:v>
      </x:c>
      <x:c r="F18" s="44" t="str">
        <x:v>IMMERSION_NARRATIVE, LOW_INFORMATION</x:v>
      </x:c>
      <x:c r="G18" s="44" t="str">
        <x:v>Story, environment or sustained attention supported immersion.; Response was too brief, contradictory or interviewer-led for confident interpretation.</x:v>
      </x:c>
      <x:c r="H18" s="44" t="str">
        <x:v>Moderate; short answers and some interviewer explanation.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Did not describe strong pressure or a specific challenge.</x:v>
      </x:c>
      <x:c r="D19" s="44" t="str">
        <x:v>English summary: Did not describe strong pressure or a specific challenge.</x:v>
      </x:c>
      <x:c r="E19" s="44" t="str">
        <x:v>00:01:06–00:01:07</x:v>
      </x:c>
      <x:c r="F19" s="44" t="str">
        <x:v>NO_PRESSURE, LOW_INFORMATION</x:v>
      </x:c>
      <x:c r="G19" s="44" t="str">
        <x:v>Participant explicitly reported little or no challenge/pressure.; Response was too brief, contradictory or interviewer-led for confident interpretation.</x:v>
      </x:c>
      <x:c r="H19" s="44" t="str">
        <x:v>Moderate; short answers and some interviewer explanation.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Initially asked what the suspicion value meant; later described looking at the NPC and scanning when he turned away.</x:v>
      </x:c>
      <x:c r="D20" s="44" t="str">
        <x:v>English summary: Initially asked what the suspicion value meant; later described looking at the NPC and scanning when he turned away.</x:v>
      </x:c>
      <x:c r="E20" s="44" t="str">
        <x:v>00:01:21–00:01:23</x:v>
      </x:c>
      <x:c r="F20" s="44" t="str">
        <x:v>MODEL_AMBIGUITY, GAZE_OVERCONTROL</x:v>
      </x:c>
      <x:c r="G20" s="44" t="str">
        <x:v>Participant could not explain or perceived inconsistency in system behavior.; Participant adopted rigid/frozen gaze to avoid suspicion.</x:v>
      </x:c>
      <x:c r="H20" s="44" t="str">
        <x:v>Moderate; short answers and some interviewer explanation.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No clear evaluation of whether the meter matched expectations was captured.</x:v>
      </x:c>
      <x:c r="D21" s="44" t="str">
        <x:v>English summary: No clear evaluation of whether the meter matched expectations was captured.</x:v>
      </x:c>
      <x:c r="E21" s="44" t="str">
        <x:v>00:01:27–00:01:29</x:v>
      </x:c>
      <x:c r="F21" s="44" t="str">
        <x:v>FEEDBACK_UNNOTICED, LOW_INFORMATION</x:v>
      </x:c>
      <x:c r="G21" s="44" t="str">
        <x:v>Suspicion meter/vignette was not seen or did not trigger.; Response was too brief, contradictory or interviewer-led for confident interpretation.</x:v>
      </x:c>
      <x:c r="H21" s="44" t="str">
        <x:v>Moderate; short answers and some interviewer explanation.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Considered the eye tracking accurate.</x:v>
      </x:c>
      <x:c r="D22" s="44" t="str">
        <x:v>English summary: Considered the eye tracking accurate.</x:v>
      </x:c>
      <x:c r="E22" s="44" t="str">
        <x:v>00:02:10–00:02:12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Moderate; short answers and some interviewer explanation.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/>
      <x:c r="D26" s="43" t="str"/>
      <x:c r="E26" s="43" t="str">
        <x:v>Missing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/>
      <x:c r="D27" s="44" t="str"/>
      <x:c r="E27" s="44" t="str">
        <x:v>Missing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/>
      <x:c r="D28" s="44" t="str"/>
      <x:c r="E28" s="44" t="str">
        <x:v>Missing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3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3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3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3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3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3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3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3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3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3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3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3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3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3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3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3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3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3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3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3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3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3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3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P02 — diane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High for interview section; preceding questionnaire dialogue excluded.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diane</x:v>
      </x:c>
      <x:c r="H5" s="43"/>
    </x:row>
    <x:row r="6">
      <x:c r="A6" s="43" t="str">
        <x:v>Competence</x:v>
      </x:c>
      <x:c r="B6" s="45" t="n">
        <x:f>'GEQ_33'!C18</x:f>
        <x:v>1.7999999999999998</x:v>
      </x:c>
      <x:c r="C6" s="43" t="str">
        <x:v>I felt the system correctly detected where I was looking.</x:v>
      </x:c>
      <x:c r="D6" s="47" t="n">
        <x:f>'Custom_Raw'!B6</x:f>
        <x:v>5</x:v>
      </x:c>
      <x:c r="F6" s="44" t="str">
        <x:v>Age (source AS)</x:v>
      </x:c>
      <x:c r="G6" s="44" t="n">
        <x:v>61</x:v>
      </x:c>
      <x:c r="H6" s="44"/>
    </x:row>
    <x:row r="7">
      <x:c r="A7" s="44" t="str">
        <x:v>Sensory &amp; imaginative immersion</x:v>
      </x:c>
      <x:c r="B7" s="46" t="n">
        <x:f>'GEQ_33'!D18</x:f>
        <x:v>2.8333333333333335</x:v>
      </x:c>
      <x:c r="C7" s="44" t="str">
        <x:v>My eye movements felt like a natural part of the gameplay.</x:v>
      </x:c>
      <x:c r="D7" s="48" t="n">
        <x:f>'Custom_Raw'!C6</x:f>
        <x:v>5</x:v>
      </x:c>
      <x:c r="F7" s="44" t="str">
        <x:v>Raw B103 / B104</x:v>
      </x:c>
      <x:c r="G7" s="44" t="str">
        <x:v>1 / 1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'GEQ_33'!E18</x:f>
        <x:v>3.5999999999999996</x:v>
      </x:c>
      <x:c r="C8" s="44" t="str">
        <x:v>I understood that looking at certain areas could affect the suspicion level.</x:v>
      </x:c>
      <x:c r="D8" s="48" t="n">
        <x:f>'Custom_Raw'!D6</x:f>
        <x:v>5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'GEQ_33'!F18</x:f>
        <x:v>1.3333333333333335</x:v>
      </x:c>
      <x:c r="C9" s="44" t="str">
        <x:v>I understood why the suspicion level increased or decreased during the game.</x:v>
      </x:c>
      <x:c r="D9" s="48" t="n">
        <x:f>'Custom_Raw'!E6</x:f>
        <x:v>5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'GEQ_33'!G18</x:f>
        <x:v>3.4000000000000004</x:v>
      </x:c>
      <x:c r="C10" s="44" t="str">
        <x:v>The suspicion meter responded to my gaze in a way that matched my expectations.</x:v>
      </x:c>
      <x:c r="D10" s="48" t="n">
        <x:f>'Custom_Raw'!F6</x:f>
        <x:v>5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'GEQ_33'!H18</x:f>
        <x:v>0</x:v>
      </x:c>
      <x:c r="C11" s="44" t="str">
        <x:v>I felt challenged by having to gather information while controlling my gaze.</x:v>
      </x:c>
      <x:c r="D11" s="48" t="n">
        <x:f>'Custom_Raw'!G6</x:f>
        <x:v>5</x:v>
      </x:c>
      <x:c r="F11" s="95"/>
      <x:c r="G11" s="96"/>
      <x:c r="H11" s="97"/>
    </x:row>
    <x:row r="12">
      <x:c r="A12" s="44" t="str">
        <x:v>Positive affect</x:v>
      </x:c>
      <x:c r="B12" s="46" t="n">
        <x:f>'GEQ_33'!I18</x:f>
        <x:v>2.8</x:v>
      </x:c>
      <x:c r="C12" s="44" t="str">
        <x:v>The gaze-based suspicion mechanic made the interrogation feel more tense.</x:v>
      </x:c>
      <x:c r="D12" s="48" t="n">
        <x:f>'Custom_Raw'!H6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'Custom_Raw'!I6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Prioritized avoiding suspicion and becoming unobtrusive during the interrogation.</x:v>
      </x:c>
      <x:c r="D17" s="43" t="str">
        <x:v>I just wanted to emerge and be sort of invisible in the interrogation and not cause any suspicion.</x:v>
      </x:c>
      <x:c r="E17" s="43" t="str">
        <x:v>00:08:53–00:09:02</x:v>
      </x:c>
      <x:c r="F17" s="43" t="str">
        <x:v>GOAL_INFO, GAZE_OVERCONTROL</x:v>
      </x:c>
      <x:c r="G17" s="43" t="str">
        <x:v>Participant understood information gathering / memory as a core goal.; Participant adopted rigid/frozen gaze to avoid suspicion.</x:v>
      </x:c>
      <x:c r="H17" s="43" t="str">
        <x:v>High for interview section; preceding questionnaire dialogue excluded.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Most engaged when the interrogator turned away, creating a chance to search the room.</x:v>
      </x:c>
      <x:c r="D18" s="44" t="str">
        <x:v>when the interrogator was distracted and turned his back on me</x:v>
      </x:c>
      <x:c r="E18" s="44" t="str">
        <x:v>00:09:23–00:09:34</x:v>
      </x:c>
      <x:c r="F18" s="44" t="str">
        <x:v>IMMERSION_STEALTH_OPPORTUNITY, NPC_TURN_TENSION</x:v>
      </x:c>
      <x:c r="G18" s="44" t="str">
        <x:v>Covert search or NPC turn-away window supported engagement.; NPC gaze, sudden turns or uncertain safe windows created tension.</x:v>
      </x:c>
      <x:c r="H18" s="44" t="str">
        <x:v>High for interview section; preceding questionnaire dialogue excluded.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Felt challenged while rapidly scanning and returning gaze before being caught.</x:v>
      </x:c>
      <x:c r="D19" s="44" t="str">
        <x:v>I felt pressured in case that I would get caught…before I got back into the middle.</x:v>
      </x:c>
      <x:c r="E19" s="44" t="str">
        <x:v>00:11:44–00:11:55</x:v>
      </x:c>
      <x:c r="F19" s="44" t="str">
        <x:v>DUAL_TASK_LOAD, NPC_TURN_TENSION</x:v>
      </x:c>
      <x:c r="G19" s="44" t="str">
        <x:v>Visual search, gaze control and audio/story competed for attention.; NPC gaze, sudden turns or uncertain safe windows created tension.</x:v>
      </x:c>
      <x:c r="H19" s="44" t="str">
        <x:v>High for interview section; preceding questionnaire dialogue excluded.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Believed strong, fixed gaze kept suspicion from increasing.</x:v>
      </x:c>
      <x:c r="D20" s="44" t="str">
        <x:v>my gaze was so strong, that I didn't raise any suspicion</x:v>
      </x:c>
      <x:c r="E20" s="44" t="str">
        <x:v>00:12:01–00:12:07</x:v>
      </x:c>
      <x:c r="F20" s="44" t="str">
        <x:v>MODEL_UNDERSTOOD, GAZE_OVERCONTROL</x:v>
      </x:c>
      <x:c r="G20" s="44" t="str">
        <x:v>Participant articulated the intended gaze-to-suspicion rule.; Participant adopted rigid/frozen gaze to avoid suspicion.</x:v>
      </x:c>
      <x:c r="H20" s="44" t="str">
        <x:v>High for interview section; preceding questionnaire dialogue excluded.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The meter did not visibly move because she maintained eye contact; this limited feedback learning.</x:v>
      </x:c>
      <x:c r="D21" s="44" t="str">
        <x:v>I didn't see the suspicion meter move</x:v>
      </x:c>
      <x:c r="E21" s="44" t="str">
        <x:v>00:12:11–00:12:17</x:v>
      </x:c>
      <x:c r="F21" s="44" t="str">
        <x:v>FEEDBACK_UNNOTICED, GAZE_OVERCONTROL</x:v>
      </x:c>
      <x:c r="G21" s="44" t="str">
        <x:v>Suspicion meter/vignette was not seen or did not trigger.; Participant adopted rigid/frozen gaze to avoid suspicion.</x:v>
      </x:c>
      <x:c r="H21" s="44" t="str">
        <x:v>High for interview section; preceding questionnaire dialogue excluded.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cursor aligned with chin, mouth and eye movements.</x:v>
      </x:c>
      <x:c r="D22" s="44" t="str">
        <x:v>the dot was right…It was quite accurate.</x:v>
      </x:c>
      <x:c r="E22" s="44" t="str">
        <x:v>00:12:45–00:13:03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 for interview section; preceding questionnaire dialogue excluded.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I felt most immeresed when I was able to look around for clues</x:v>
      </x:c>
      <x:c r="D26" s="43" t="str">
        <x:v>IMMERSION_STEALTH_OPPORTUNITY, GAZE_OVERCONTROL, FEEDBACK_UNNOTICED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 felt motionless during the points of holding eye contact afterwards when I had time to look around it was exciting and a rush to gather evidence</x:v>
      </x:c>
      <x:c r="D27" s="44" t="str">
        <x:v>IMMERSION_STEALTH_OPPORTUNITY, GAZE_OVERCONTROL, FEEDBACK_UNNOTICED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I was too focused on the eye contact that I never came under suspicion</x:v>
      </x:c>
      <x:c r="D28" s="44" t="str">
        <x:v>IMMERSION_STEALTH_OPPORTUNITY, GAZE_OVERCONTROL, FEEDBACK_UNNOTICED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2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4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5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2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2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3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5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3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4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3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4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3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4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5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5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5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5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5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P03 — Andy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DOCX | Quality: High;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Andy</x:v>
      </x:c>
      <x:c r="H5" s="43"/>
    </x:row>
    <x:row r="6">
      <x:c r="A6" s="43" t="str">
        <x:v>Competence</x:v>
      </x:c>
      <x:c r="B6" s="45" t="n">
        <x:f>'GEQ_33'!C19</x:f>
        <x:v>3.2</x:v>
      </x:c>
      <x:c r="C6" s="43" t="str">
        <x:v>I felt the system correctly detected where I was looking.</x:v>
      </x:c>
      <x:c r="D6" s="47" t="n">
        <x:f>'Custom_Raw'!B7</x:f>
        <x:v>5</x:v>
      </x:c>
      <x:c r="F6" s="44" t="str">
        <x:v>Age (source AS)</x:v>
      </x:c>
      <x:c r="G6" s="44" t="n">
        <x:v>20</x:v>
      </x:c>
      <x:c r="H6" s="44"/>
    </x:row>
    <x:row r="7">
      <x:c r="A7" s="44" t="str">
        <x:v>Sensory &amp; imaginative immersion</x:v>
      </x:c>
      <x:c r="B7" s="46" t="n">
        <x:f>'GEQ_33'!D19</x:f>
        <x:v>3.833333333333333</x:v>
      </x:c>
      <x:c r="C7" s="44" t="str">
        <x:v>My eye movements felt like a natural part of the gameplay.</x:v>
      </x:c>
      <x:c r="D7" s="48" t="n">
        <x:f>'Custom_Raw'!C7</x:f>
        <x:v>5</x:v>
      </x:c>
      <x:c r="F7" s="44" t="str">
        <x:v>Raw B103 / B104</x:v>
      </x:c>
      <x:c r="G7" s="44" t="str">
        <x:v>4 / 5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'GEQ_33'!E19</x:f>
        <x:v>3.4000000000000004</x:v>
      </x:c>
      <x:c r="C8" s="44" t="str">
        <x:v>I understood that looking at certain areas could affect the suspicion level.</x:v>
      </x:c>
      <x:c r="D8" s="48" t="n">
        <x:f>'Custom_Raw'!D7</x:f>
        <x:v>5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'GEQ_33'!F19</x:f>
        <x:v>0</x:v>
      </x:c>
      <x:c r="C9" s="44" t="str">
        <x:v>I understood why the suspicion level increased or decreased during the game.</x:v>
      </x:c>
      <x:c r="D9" s="48" t="n">
        <x:f>'Custom_Raw'!E7</x:f>
        <x:v>5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'GEQ_33'!G19</x:f>
        <x:v>1.7999999999999998</x:v>
      </x:c>
      <x:c r="C10" s="44" t="str">
        <x:v>The suspicion meter responded to my gaze in a way that matched my expectations.</x:v>
      </x:c>
      <x:c r="D10" s="48" t="n">
        <x:f>'Custom_Raw'!F7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'GEQ_33'!H19</x:f>
        <x:v>0</x:v>
      </x:c>
      <x:c r="C11" s="44" t="str">
        <x:v>I felt challenged by having to gather information while controlling my gaze.</x:v>
      </x:c>
      <x:c r="D11" s="48" t="n">
        <x:f>'Custom_Raw'!G7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'GEQ_33'!I19</x:f>
        <x:v>3.8</x:v>
      </x:c>
      <x:c r="C12" s="44" t="str">
        <x:v>The gaze-based suspicion mechanic made the interrogation feel more tense.</x:v>
      </x:c>
      <x:c r="D12" s="48" t="n">
        <x:f>'Custom_Raw'!H7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'Custom_Raw'!I7</x:f>
        <x:v>1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Dual goal: gather evidence while avoiding suspicion.</x:v>
      </x:c>
      <x:c r="D17" s="43" t="str">
        <x:v>Trying to gather the evidence and not make the officer suspicious.</x:v>
      </x:c>
      <x:c r="E17" s="43" t="str">
        <x:v>Q1</x:v>
      </x:c>
      <x:c r="F17" s="43" t="str">
        <x:v>GOAL_INFO, MODEL_UNDERSTOOD</x:v>
      </x:c>
      <x:c r="G17" s="43" t="str">
        <x:v>Participant understood information gathering / memory as a core goal.; Participant articulated the intended gaze-to-suspicion rule.</x:v>
      </x:c>
      <x:c r="H17" s="43" t="str">
        <x:v>High;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Reported being immersed throughout.</x:v>
      </x:c>
      <x:c r="D18" s="44" t="str">
        <x:v>I felt equally immersed throughout the entire game.</x:v>
      </x:c>
      <x:c r="E18" s="44" t="str">
        <x:v>Q2</x:v>
      </x:c>
      <x:c r="F18" s="44" t="str">
        <x:v>IMMERSION_NARRATIVE</x:v>
      </x:c>
      <x:c r="G18" s="44" t="str">
        <x:v>Story, environment or sustained attention supported immersion.</x:v>
      </x:c>
      <x:c r="H18" s="44" t="str">
        <x:v>High;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Officer turns created pressure to search; direct gaze caused sustained eye contact.</x:v>
      </x:c>
      <x:c r="D19" s="44" t="str">
        <x:v>When the officer turned around I felt pressured to look at the evidence.</x:v>
      </x:c>
      <x:c r="E19" s="44" t="str">
        <x:v>Q3</x:v>
      </x:c>
      <x:c r="F19" s="44" t="str">
        <x:v>NPC_TURN_TENSION, GAZE_OVERCONTROL</x:v>
      </x:c>
      <x:c r="G19" s="44" t="str">
        <x:v>NPC gaze, sudden turns or uncertain safe windows created tension.; Participant adopted rigid/frozen gaze to avoid suspicion.</x:v>
      </x:c>
      <x:c r="H19" s="44" t="str">
        <x:v>High;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eye contact as protective but did not observe suspicion rising.</x:v>
      </x:c>
      <x:c r="D20" s="44" t="str">
        <x:v>I didn’t notice any indication of the suspicion being raised.</x:v>
      </x:c>
      <x:c r="E20" s="44" t="str">
        <x:v>Q4</x:v>
      </x:c>
      <x:c r="F20" s="44" t="str">
        <x:v>MODEL_UNDERSTOOD, FEEDBACK_UNNOTICED</x:v>
      </x:c>
      <x:c r="G20" s="44" t="str">
        <x:v>Participant articulated the intended gaze-to-suspicion rule.; Suspicion meter/vignette was not seen or did not trigger.</x:v>
      </x:c>
      <x:c r="H20" s="44" t="str">
        <x:v>High;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Did not notice a meter or vignette.</x:v>
      </x:c>
      <x:c r="D21" s="44" t="str">
        <x:v>I didn’t notice any suspicion meter.</x:v>
      </x:c>
      <x:c r="E21" s="44" t="str">
        <x:v>Q5</x:v>
      </x:c>
      <x:c r="F21" s="44" t="str">
        <x:v>FEEDBACK_UNNOTICED</x:v>
      </x:c>
      <x:c r="G21" s="44" t="str">
        <x:v>Suspicion meter/vignette was not seen or did not trigger.</x:v>
      </x:c>
      <x:c r="H21" s="44" t="str">
        <x:v>High;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gaze dot followed his eyes.</x:v>
      </x:c>
      <x:c r="D22" s="44" t="str">
        <x:v>The dot was following where I looked.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Receiving information about myself as well as the Director also having to stay focused trying to listen to him and gather visual clues.</x:v>
      </x:c>
      <x:c r="D26" s="43" t="str">
        <x:v>DUAL_TASK_LOAD, TRACKING_TRUST, GAZE_OVERCONTROL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Effectively and efficiently, tracked my gaze perfectly.</x:v>
      </x:c>
      <x:c r="D27" s="44" t="str">
        <x:v>DUAL_TASK_LOAD, TRACKING_TRUST, GAZE_OVERCONTROL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I didn't experience it in my game play because i was able to search for clues without alerting the Director. </x:v>
      </x:c>
      <x:c r="D28" s="44" t="str">
        <x:v>DUAL_TASK_LOAD, TRACKING_TRUST, GAZE_OVERCONTROL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5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3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5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5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5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5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5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5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2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5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5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4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2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4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5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1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P04 — Madan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DOCX | Quality: High;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Madan</x:v>
      </x:c>
      <x:c r="H5" s="43"/>
    </x:row>
    <x:row r="6">
      <x:c r="A6" s="43" t="str">
        <x:v>Competence</x:v>
      </x:c>
      <x:c r="B6" s="45" t="n">
        <x:f>'GEQ_33'!C20</x:f>
        <x:v>2.8</x:v>
      </x:c>
      <x:c r="C6" s="43" t="str">
        <x:v>I felt the system correctly detected where I was looking.</x:v>
      </x:c>
      <x:c r="D6" s="47" t="n">
        <x:f>'Custom_Raw'!B8</x:f>
        <x:v>5</x:v>
      </x:c>
      <x:c r="F6" s="44" t="str">
        <x:v>Age (source AS)</x:v>
      </x:c>
      <x:c r="G6" s="44" t="n">
        <x:v>28</x:v>
      </x:c>
      <x:c r="H6" s="44"/>
    </x:row>
    <x:row r="7">
      <x:c r="A7" s="44" t="str">
        <x:v>Sensory &amp; imaginative immersion</x:v>
      </x:c>
      <x:c r="B7" s="46" t="n">
        <x:f>'GEQ_33'!D20</x:f>
        <x:v>2.3333333333333335</x:v>
      </x:c>
      <x:c r="C7" s="44" t="str">
        <x:v>My eye movements felt like a natural part of the gameplay.</x:v>
      </x:c>
      <x:c r="D7" s="48" t="n">
        <x:f>'Custom_Raw'!C8</x:f>
        <x:v>5</x:v>
      </x:c>
      <x:c r="F7" s="44" t="str">
        <x:v>Raw B103 / B104</x:v>
      </x:c>
      <x:c r="G7" s="44" t="str">
        <x:v>2 / 1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'GEQ_33'!E20</x:f>
        <x:v>3.2</x:v>
      </x:c>
      <x:c r="C8" s="44" t="str">
        <x:v>I understood that looking at certain areas could affect the suspicion level.</x:v>
      </x:c>
      <x:c r="D8" s="48" t="n">
        <x:f>'Custom_Raw'!D8</x:f>
        <x:v>3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'GEQ_33'!F20</x:f>
        <x:v>0</x:v>
      </x:c>
      <x:c r="C9" s="44" t="str">
        <x:v>I understood why the suspicion level increased or decreased during the game.</x:v>
      </x:c>
      <x:c r="D9" s="48" t="n">
        <x:f>'Custom_Raw'!E8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'GEQ_33'!G20</x:f>
        <x:v>1.7999999999999998</x:v>
      </x:c>
      <x:c r="C10" s="44" t="str">
        <x:v>The suspicion meter responded to my gaze in a way that matched my expectations.</x:v>
      </x:c>
      <x:c r="D10" s="48" t="n">
        <x:f>'Custom_Raw'!F8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'GEQ_33'!H20</x:f>
        <x:v>0</x:v>
      </x:c>
      <x:c r="C11" s="44" t="str">
        <x:v>I felt challenged by having to gather information while controlling my gaze.</x:v>
      </x:c>
      <x:c r="D11" s="48" t="n">
        <x:f>'Custom_Raw'!G8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'GEQ_33'!I20</x:f>
        <x:v>2.8</x:v>
      </x:c>
      <x:c r="C12" s="44" t="str">
        <x:v>The gaze-based suspicion mechanic made the interrogation feel more tense.</x:v>
      </x:c>
      <x:c r="D12" s="48" t="n">
        <x:f>'Custom_Raw'!H8</x:f>
        <x:v>2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'Custom_Raw'!I8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need to gather both visual and spoken confidential information.</x:v>
      </x:c>
      <x:c r="D17" s="43" t="str">
        <x:v>Looking around the room and gathering confidential information. Details in what the officer said were also really important.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Described sustained engagement and absolute focus.</x:v>
      </x:c>
      <x:c r="D18" s="44" t="str">
        <x:v>The game requires absoulte focus, so I was engaged for the entire duration.</x:v>
      </x:c>
      <x:c r="E18" s="44" t="str">
        <x:v>Q2</x:v>
      </x:c>
      <x:c r="F18" s="44" t="str">
        <x:v>IMMERSION_NARRATIVE, DUAL_TASK_LOAD</x:v>
      </x:c>
      <x:c r="G18" s="44" t="str">
        <x:v>Story, environment or sustained attention supported immersion.; Visual search, gaze control and audio/story competed for attention.</x:v>
      </x:c>
      <x:c r="H18" s="44" t="str">
        <x:v>High;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Early uncertainty about safe windows caused anxiety and reduced attention to dialogue.</x:v>
      </x:c>
      <x:c r="D19" s="44" t="str">
        <x:v>I didn’t pay close attention to what he was saying in the beginning because I was anxious to gather evidence.</x:v>
      </x:c>
      <x:c r="E19" s="44" t="str">
        <x:v>Q3</x:v>
      </x:c>
      <x:c r="F19" s="44" t="str">
        <x:v>DUAL_TASK_LOAD, STORY_AUDIO_LOSS, NPC_TURN_TENSION</x:v>
      </x:c>
      <x:c r="G19" s="44" t="str">
        <x:v>Visual search, gaze control and audio/story competed for attention.; Attention to gaze/visual search reduced story or audio processing.; NPC gaze, sudden turns or uncertain safe windows created tension.</x:v>
      </x:c>
      <x:c r="H19" s="44" t="str">
        <x:v>High;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Correctly understood eye contact as safe and evidence scanning as risky, but lacked a clear state estimate.</x:v>
      </x:c>
      <x:c r="D20" s="44" t="str">
        <x:v>I didn’t know how suspicious the officer thinks i am.</x:v>
      </x:c>
      <x:c r="E20" s="44" t="str">
        <x:v>Q4</x:v>
      </x:c>
      <x:c r="F20" s="44" t="str">
        <x:v>MODEL_UNDERSTOOD, MODEL_AMBIGUITY</x:v>
      </x:c>
      <x:c r="G20" s="44" t="str">
        <x:v>Participant articulated the intended gaze-to-suspicion rule.; Participant could not explain or perceived inconsistency in system behavior.</x:v>
      </x:c>
      <x:c r="H20" s="44" t="str">
        <x:v>High;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Only discovered the vignette at the end after deliberately testing longer looks.</x:v>
      </x:c>
      <x:c r="D21" s="44" t="str">
        <x:v>I noticed (the vignette) only at the very end of the scene.</x:v>
      </x:c>
      <x:c r="E21" s="44" t="str">
        <x:v>Q5</x:v>
      </x:c>
      <x:c r="F21" s="44" t="str">
        <x:v>FEEDBACK_UNNOTICED, FEEDBACK_EXPECTED</x:v>
      </x:c>
      <x:c r="G21" s="44" t="str">
        <x:v>Suspicion meter/vignette was not seen or did not trigger.; Feedback behavior broadly matched expectations.</x:v>
      </x:c>
      <x:c r="H21" s="44" t="str">
        <x:v>High;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cursor position matched gaze.</x:v>
      </x:c>
      <x:c r="D22" s="44" t="str">
        <x:v>The position of the dot was consistent with where I was looking.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Most Immersed moment was during actual playing of the game and answering questions.
Least Immersed  was calibration aspects. I thought it could have been much easier for those playing the game.</x:v>
      </x:c>
      <x:c r="D26" s="43" t="str">
        <x:v>CALIBRATION_BURDEN, FEEDBACK_UNNOTICED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It did not affect my play.</x:v>
      </x:c>
      <x:c r="D27" s="44" t="str">
        <x:v>CALIBRATION_BURDEN, FEEDBACK_UNNOTICED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My experience with this suspicion level was neutral because I see the officer was not suspicious mst of the times when I kept looking at the evidences while he was speaking to me.</x:v>
      </x:c>
      <x:c r="D28" s="44" t="str">
        <x:v>CALIBRATION_BURDEN, FEEDBACK_UNNOTICED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3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5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5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3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3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2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3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2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P05 — Octavio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DOCX | Quality: High;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Octavio</x:v>
      </x:c>
      <x:c r="H5" s="43"/>
    </x:row>
    <x:row r="6">
      <x:c r="A6" s="43" t="str">
        <x:v>Competence</x:v>
      </x:c>
      <x:c r="B6" s="45" t="n">
        <x:f>'GEQ_33'!C21</x:f>
        <x:v>3.4000000000000004</x:v>
      </x:c>
      <x:c r="C6" s="43" t="str">
        <x:v>I felt the system correctly detected where I was looking.</x:v>
      </x:c>
      <x:c r="D6" s="47" t="n">
        <x:f>'Custom_Raw'!B9</x:f>
        <x:v>5</x:v>
      </x:c>
      <x:c r="F6" s="44" t="str">
        <x:v>Age (source AS)</x:v>
      </x:c>
      <x:c r="G6" s="44" t="n">
        <x:v>26</x:v>
      </x:c>
      <x:c r="H6" s="44"/>
    </x:row>
    <x:row r="7">
      <x:c r="A7" s="44" t="str">
        <x:v>Sensory &amp; imaginative immersion</x:v>
      </x:c>
      <x:c r="B7" s="46" t="n">
        <x:f>'GEQ_33'!D21</x:f>
        <x:v>3.166666666666667</x:v>
      </x:c>
      <x:c r="C7" s="44" t="str">
        <x:v>My eye movements felt like a natural part of the gameplay.</x:v>
      </x:c>
      <x:c r="D7" s="48" t="n">
        <x:f>'Custom_Raw'!C9</x:f>
        <x:v>4</x:v>
      </x:c>
      <x:c r="F7" s="44" t="str">
        <x:v>Raw B103 / B104</x:v>
      </x:c>
      <x:c r="G7" s="44" t="str">
        <x:v>4 / 3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'GEQ_33'!E21</x:f>
        <x:v>3</x:v>
      </x:c>
      <x:c r="C8" s="44" t="str">
        <x:v>I understood that looking at certain areas could affect the suspicion level.</x:v>
      </x:c>
      <x:c r="D8" s="48" t="n">
        <x:f>'Custom_Raw'!D9</x:f>
        <x:v>5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'GEQ_33'!F21</x:f>
        <x:v>0</x:v>
      </x:c>
      <x:c r="C9" s="44" t="str">
        <x:v>I understood why the suspicion level increased or decreased during the game.</x:v>
      </x:c>
      <x:c r="D9" s="48" t="n">
        <x:f>'Custom_Raw'!E9</x:f>
        <x:v>5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'GEQ_33'!G21</x:f>
        <x:v>1.6</x:v>
      </x:c>
      <x:c r="C10" s="44" t="str">
        <x:v>The suspicion meter responded to my gaze in a way that matched my expectations.</x:v>
      </x:c>
      <x:c r="D10" s="48" t="n">
        <x:f>'Custom_Raw'!F9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'GEQ_33'!H21</x:f>
        <x:v>0.5</x:v>
      </x:c>
      <x:c r="C11" s="44" t="str">
        <x:v>I felt challenged by having to gather information while controlling my gaze.</x:v>
      </x:c>
      <x:c r="D11" s="48" t="n">
        <x:f>'Custom_Raw'!G9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'GEQ_33'!I21</x:f>
        <x:v>3.8</x:v>
      </x:c>
      <x:c r="C12" s="44" t="str">
        <x:v>The gaze-based suspicion mechanic made the interrogation feel more tense.</x:v>
      </x:c>
      <x:c r="D12" s="48" t="n">
        <x:f>'Custom_Raw'!H9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'Custom_Raw'!I9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goal as gathering visual and auditory information.</x:v>
      </x:c>
      <x:c r="D17" s="43" t="str">
        <x:v>gathering as much information as I could, visual and auditive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NPC gaze produced tension; looking away produced relief and environmental engagement.</x:v>
      </x:c>
      <x:c r="D18" s="44" t="str">
        <x:v>when he looked away, I felt a sense of relief</x:v>
      </x:c>
      <x:c r="E18" s="44" t="str">
        <x:v>Q2</x:v>
      </x:c>
      <x:c r="F18" s="44" t="str">
        <x:v>IMMERSION_STEALTH_OPPORTUNITY, NPC_TURN_TENSION</x:v>
      </x:c>
      <x:c r="G18" s="44" t="str">
        <x:v>Covert search or NPC turn-away window supported engagement.; NPC gaze, sudden turns or uncertain safe windows created tension.</x:v>
      </x:c>
      <x:c r="H18" s="44" t="str">
        <x:v>High;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Simultaneously remembering speech and searching for visual clues was most challenging.</x:v>
      </x:c>
      <x:c r="D19" s="44" t="str">
        <x:v>trying to remember what he was saying…at the same time looking around for clues</x:v>
      </x:c>
      <x:c r="E19" s="44" t="str">
        <x:v>Q3</x:v>
      </x:c>
      <x:c r="F19" s="44" t="str">
        <x:v>DUAL_TASK_LOAD, STORY_AUDIO_LOSS</x:v>
      </x:c>
      <x:c r="G19" s="44" t="str">
        <x:v>Visual search, gaze control and audio/story competed for attention.; Attention to gaze/visual search reduced story or audio processing.</x:v>
      </x:c>
      <x:c r="H19" s="44" t="str">
        <x:v>High;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Correctly understood that looking away under observation raises suspicion.</x:v>
      </x:c>
      <x:c r="D20" s="44" t="str">
        <x:v>I need to keep a continuous eye contact with the NPC so that no suspicion is aroused.</x:v>
      </x:c>
      <x:c r="E20" s="44" t="str">
        <x:v>Q4</x:v>
      </x:c>
      <x:c r="F20" s="44" t="str">
        <x:v>MODEL_UNDERSTOOD, GAZE_OVERCONTROL</x:v>
      </x:c>
      <x:c r="G20" s="44" t="str">
        <x:v>Participant articulated the intended gaze-to-suspicion rule.; Participant adopted rigid/frozen gaze to avoid suspicion.</x:v>
      </x:c>
      <x:c r="H20" s="44" t="str">
        <x:v>High;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Did not notice the vignette because cautious play prevented triggering it.</x:v>
      </x:c>
      <x:c r="D21" s="44" t="str">
        <x:v>I didn't notice the vignette because I was so focused on not looking suspicious.</x:v>
      </x:c>
      <x:c r="E21" s="44" t="str">
        <x:v>Q5</x:v>
      </x:c>
      <x:c r="F21" s="44" t="str">
        <x:v>FEEDBACK_UNNOTICED, GAZE_OVERCONTROL</x:v>
      </x:c>
      <x:c r="G21" s="44" t="str">
        <x:v>Suspicion meter/vignette was not seen or did not trigger.; Participant adopted rigid/frozen gaze to avoid suspicion.</x:v>
      </x:c>
      <x:c r="H21" s="44" t="str">
        <x:v>High;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the system because the gaze bubble was easy to understand and responsive.</x:v>
      </x:c>
      <x:c r="D22" s="44" t="str">
        <x:v>there's a bubble following my eye movement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Gathering visual information while avoiding suspicion from the npc made me feel pretty immersed</x:v>
      </x:c>
      <x:c r="D26" s="43" t="str">
        <x:v>IMMERSION_STEALTH_OPPORTUNITY, NPC_TURN_TENSION, MODEL_UNDERSTOOD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Made doble think where to look during the interrogation. Every time the npc looked at me i felt tense, and when it looked away i felt relief.</x:v>
      </x:c>
      <x:c r="D27" s="44" t="str">
        <x:v>IMMERSION_STEALTH_OPPORTUNITY, NPC_TURN_TENSION, MODEL_UNDERSTOOD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No, it was quite easy to comprehend</x:v>
      </x:c>
      <x:c r="D28" s="44" t="str">
        <x:v>IMMERSION_STEALTH_OPPORTUNITY, NPC_TURN_TENSION, MODEL_UNDERSTOOD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5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5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3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5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4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5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4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3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5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2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5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5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4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2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5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P06 — heeyun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Moderate-low; multilingual ASR and substantial interviewer explanation.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heeyun</x:v>
      </x:c>
      <x:c r="H5" s="43"/>
    </x:row>
    <x:row r="6">
      <x:c r="A6" s="43" t="str">
        <x:v>Competence</x:v>
      </x:c>
      <x:c r="B6" s="45" t="n">
        <x:f>'GEQ_33'!C22</x:f>
        <x:v>0.3999999999999999</x:v>
      </x:c>
      <x:c r="C6" s="43" t="str">
        <x:v>I felt the system correctly detected where I was looking.</x:v>
      </x:c>
      <x:c r="D6" s="47" t="n">
        <x:f>'Custom_Raw'!B10</x:f>
        <x:v>5</x:v>
      </x:c>
      <x:c r="F6" s="44" t="str">
        <x:v>Age (source AS)</x:v>
      </x:c>
      <x:c r="G6" s="44" t="n">
        <x:v>34</x:v>
      </x:c>
      <x:c r="H6" s="44"/>
    </x:row>
    <x:row r="7">
      <x:c r="A7" s="44" t="str">
        <x:v>Sensory &amp; imaginative immersion</x:v>
      </x:c>
      <x:c r="B7" s="46" t="n">
        <x:f>'GEQ_33'!D22</x:f>
        <x:v>2.5</x:v>
      </x:c>
      <x:c r="C7" s="44" t="str">
        <x:v>My eye movements felt like a natural part of the gameplay.</x:v>
      </x:c>
      <x:c r="D7" s="48" t="n">
        <x:f>'Custom_Raw'!C10</x:f>
        <x:v>2</x:v>
      </x:c>
      <x:c r="F7" s="44" t="str">
        <x:v>Raw B103 / B104</x:v>
      </x:c>
      <x:c r="G7" s="44" t="str">
        <x:v>3 / 4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'GEQ_33'!E22</x:f>
        <x:v>1.2000000000000002</x:v>
      </x:c>
      <x:c r="C8" s="44" t="str">
        <x:v>I understood that looking at certain areas could affect the suspicion level.</x:v>
      </x:c>
      <x:c r="D8" s="48" t="n">
        <x:f>'Custom_Raw'!D10</x:f>
        <x:v>4</x:v>
      </x:c>
      <x:c r="F8" s="44" t="str">
        <x:v>Missing %</x:v>
      </x:c>
      <x:c r="G8" s="44" t="n">
        <x:v>6</x:v>
      </x:c>
      <x:c r="H8" s="44"/>
    </x:row>
    <x:row r="9">
      <x:c r="A9" s="44" t="str">
        <x:v>Tension / annoyance</x:v>
      </x:c>
      <x:c r="B9" s="46" t="n">
        <x:f>'GEQ_33'!F22</x:f>
        <x:v>2</x:v>
      </x:c>
      <x:c r="C9" s="44" t="str">
        <x:v>I understood why the suspicion level increased or decreased during the game.</x:v>
      </x:c>
      <x:c r="D9" s="48" t="n">
        <x:f>'Custom_Raw'!E10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'GEQ_33'!G22</x:f>
        <x:v>1.7999999999999998</x:v>
      </x:c>
      <x:c r="C10" s="44" t="str">
        <x:v>The suspicion meter responded to my gaze in a way that matched my expectations.</x:v>
      </x:c>
      <x:c r="D10" s="48" t="n">
        <x:f>'Custom_Raw'!F10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'GEQ_33'!H22</x:f>
        <x:v>0</x:v>
      </x:c>
      <x:c r="C11" s="44" t="str">
        <x:v>I felt challenged by having to gather information while controlling my gaze.</x:v>
      </x:c>
      <x:c r="D11" s="48" t="n">
        <x:f>'Custom_Raw'!G10</x:f>
        <x:v>2</x:v>
      </x:c>
      <x:c r="F11" s="95"/>
      <x:c r="G11" s="96"/>
      <x:c r="H11" s="97"/>
    </x:row>
    <x:row r="12">
      <x:c r="A12" s="44" t="str">
        <x:v>Positive affect</x:v>
      </x:c>
      <x:c r="B12" s="46" t="n">
        <x:f>'GEQ_33'!I22</x:f>
        <x:v>2.4</x:v>
      </x:c>
      <x:c r="C12" s="44" t="str">
        <x:v>The gaze-based suspicion mechanic made the interrogation feel more tense.</x:v>
      </x:c>
      <x:c r="D12" s="48" t="n">
        <x:f>'Custom_Raw'!H10</x:f>
        <x:v>2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'Custom_Raw'!I10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Did not initially understand the goal; inferred later that it was a memory task and missed evidence due to eye focus.</x:v>
      </x:c>
      <x:c r="D17" s="43" t="str">
        <x:v>no actually i didn't understand…while playing i noticed that was a memory game</x:v>
      </x:c>
      <x:c r="E17" s="43" t="str">
        <x:v>00:20:03–00:20:16</x:v>
      </x:c>
      <x:c r="F17" s="43" t="str">
        <x:v>GOAL_AMBIGUITY, STORY_AUDIO_LOSS</x:v>
      </x:c>
      <x:c r="G17" s="43" t="str">
        <x:v>Participant did not initially understand the task or dual goal.; Attention to gaze/visual search reduced story or audio processing.</x:v>
      </x:c>
      <x:c r="H17" s="43" t="str">
        <x:v>Moderate-low; multilingual ASR and substantial interviewer explanation.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Did not identify a strong immersive moment; gaze control interfered with getting into the game.</x:v>
      </x:c>
      <x:c r="D18" s="44" t="str">
        <x:v>to get into…a game is…not perfect not suitable</x:v>
      </x:c>
      <x:c r="E18" s="44" t="str">
        <x:v>00:21:52–00:22:11</x:v>
      </x:c>
      <x:c r="F18" s="44" t="str">
        <x:v>IMMERSION_BARRIER, GAZE_DOT_DISTRACTION</x:v>
      </x:c>
      <x:c r="G18" s="44" t="str">
        <x:v>Interface, modeling, calibration or mechanics disrupted immersion.; Visible gaze cursor or monitoring of gaze distracted from play.</x:v>
      </x:c>
      <x:c r="H18" s="44" t="str">
        <x:v>Moderate-low; multilingual ASR and substantial interviewer explanation.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Memory demands and gaze control created pressure and concentration problems.</x:v>
      </x:c>
      <x:c r="D19" s="44" t="str">
        <x:v>thoughts moving is a little bit annoying</x:v>
      </x:c>
      <x:c r="E19" s="44" t="str">
        <x:v>00:21:24–00:21:41</x:v>
      </x:c>
      <x:c r="F19" s="44" t="str">
        <x:v>DUAL_TASK_LOAD, GAZE_DOT_DISTRACTION</x:v>
      </x:c>
      <x:c r="G19" s="44" t="str">
        <x:v>Visual search, gaze control and audio/story competed for attention.; Visible gaze cursor or monitoring of gaze distracted from play.</x:v>
      </x:c>
      <x:c r="H19" s="44" t="str">
        <x:v>Moderate-low; multilingual ASR and substantial interviewer explanation.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that looking left or right could produce negative feedback, but experienced gaze control as intrusive.</x:v>
      </x:c>
      <x:c r="D20" s="44" t="str">
        <x:v>if you look like the right or the left then you will…get…negative feedback</x:v>
      </x:c>
      <x:c r="E20" s="44" t="str">
        <x:v>00:22:50–00:23:09</x:v>
      </x:c>
      <x:c r="F20" s="44" t="str">
        <x:v>MODEL_UNDERSTOOD, IMMERSION_BARRIER</x:v>
      </x:c>
      <x:c r="G20" s="44" t="str">
        <x:v>Participant articulated the intended gaze-to-suspicion rule.; Interface, modeling, calibration or mechanics disrupted immersion.</x:v>
      </x:c>
      <x:c r="H20" s="44" t="str">
        <x:v>Moderate-low; multilingual ASR and substantial interviewer explanation.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No clear independent judgment of meter predictability; interviewer explanation dominated this section.</x:v>
      </x:c>
      <x:c r="D21" s="44" t="str">
        <x:v>be a little bit like difficult to trigger the animation</x:v>
      </x:c>
      <x:c r="E21" s="44" t="str">
        <x:v>00:22:42–00:22:50</x:v>
      </x:c>
      <x:c r="F21" s="44" t="str">
        <x:v>MODEL_AMBIGUITY, LOW_INFORMATION</x:v>
      </x:c>
      <x:c r="G21" s="44" t="str">
        <x:v>Participant could not explain or perceived inconsistency in system behavior.; Response was too brief, contradictory or interviewer-led for confident interpretation.</x:v>
      </x:c>
      <x:c r="H21" s="44" t="str">
        <x:v>Moderate-low; multilingual ASR and substantial interviewer explanation.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after calibration and described it as accurate.</x:v>
      </x:c>
      <x:c r="D22" s="44" t="str">
        <x:v>after the calibration, it's very accurate</x:v>
      </x:c>
      <x:c r="E22" s="44" t="str">
        <x:v>00:23:39–00:23:44</x:v>
      </x:c>
      <x:c r="F22" s="44" t="str">
        <x:v>TRACKING_TRUST, CALIBRATION_BURDEN</x:v>
      </x:c>
      <x:c r="G22" s="44" t="str">
        <x:v>Participant trusted gaze tracking, usually because of the cursor/dot.; Calibration/recalibration or keeping still imposed effort.</x:v>
      </x:c>
      <x:c r="H22" s="44" t="str">
        <x:v>Moderate-low; multilingual ASR and substantial interviewer explanation.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/>
      <x:c r="D26" s="43" t="str">
        <x:v>GAZE_DOT_DISTRACTION, IMMERSION_BARRIER, STORY_AUDIO_LOSS</x:v>
      </x:c>
      <x:c r="E26" s="43" t="str">
        <x:v>Partial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 think that makes me confused while playing the game because i felt like the gaze moving bothers game. it was hard to concentrate the game </x:v>
      </x:c>
      <x:c r="D27" s="44" t="str">
        <x:v>GAZE_DOT_DISTRACTION, IMMERSION_BARRIER, STORY_AUDIO_LOSS</x:v>
      </x:c>
      <x:c r="E27" s="44" t="str">
        <x:v>Partial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/>
      <x:c r="D28" s="44" t="str">
        <x:v>GAZE_DOT_DISTRACTION, IMMERSION_BARRIER, STORY_AUDIO_LOSS</x:v>
      </x:c>
      <x:c r="E28" s="44" t="str">
        <x:v>Partial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1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3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3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1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4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2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1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3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2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3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1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4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4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1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3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3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1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1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2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2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2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P07 — yan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Low; very brief answers and strongly leading interviewer prompts.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yan</x:v>
      </x:c>
      <x:c r="H5" s="43"/>
    </x:row>
    <x:row r="6">
      <x:c r="A6" s="43" t="str">
        <x:v>Competence</x:v>
      </x:c>
      <x:c r="B6" s="45" t="n">
        <x:f>'GEQ_33'!C23</x:f>
        <x:v>1.6</x:v>
      </x:c>
      <x:c r="C6" s="43" t="str">
        <x:v>I felt the system correctly detected where I was looking.</x:v>
      </x:c>
      <x:c r="D6" s="47" t="n">
        <x:f>'Custom_Raw'!B11</x:f>
        <x:v>5</x:v>
      </x:c>
      <x:c r="F6" s="44" t="str">
        <x:v>Age (source AS)</x:v>
      </x:c>
      <x:c r="G6" s="44" t="n">
        <x:v>22</x:v>
      </x:c>
      <x:c r="H6" s="44"/>
    </x:row>
    <x:row r="7">
      <x:c r="A7" s="44" t="str">
        <x:v>Sensory &amp; imaginative immersion</x:v>
      </x:c>
      <x:c r="B7" s="46" t="n">
        <x:f>'GEQ_33'!D23</x:f>
        <x:v>2.3333333333333335</x:v>
      </x:c>
      <x:c r="C7" s="44" t="str">
        <x:v>My eye movements felt like a natural part of the gameplay.</x:v>
      </x:c>
      <x:c r="D7" s="48" t="n">
        <x:f>'Custom_Raw'!C11</x:f>
        <x:v>5</x:v>
      </x:c>
      <x:c r="F7" s="44" t="str">
        <x:v>Raw B103 / B104</x:v>
      </x:c>
      <x:c r="G7" s="44" t="str">
        <x:v>1 / 2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'GEQ_33'!E23</x:f>
        <x:v>2.2</x:v>
      </x:c>
      <x:c r="C8" s="44" t="str">
        <x:v>I understood that looking at certain areas could affect the suspicion level.</x:v>
      </x:c>
      <x:c r="D8" s="48" t="n">
        <x:f>'Custom_Raw'!D11</x:f>
        <x:v>5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'GEQ_33'!F23</x:f>
        <x:v>0</x:v>
      </x:c>
      <x:c r="C9" s="44" t="str">
        <x:v>I understood why the suspicion level increased or decreased during the game.</x:v>
      </x:c>
      <x:c r="D9" s="48" t="n">
        <x:f>'Custom_Raw'!E11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'GEQ_33'!G23</x:f>
        <x:v>0.6000000000000001</x:v>
      </x:c>
      <x:c r="C10" s="44" t="str">
        <x:v>The suspicion meter responded to my gaze in a way that matched my expectations.</x:v>
      </x:c>
      <x:c r="D10" s="48" t="n">
        <x:f>'Custom_Raw'!F11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'GEQ_33'!H23</x:f>
        <x:v>0.75</x:v>
      </x:c>
      <x:c r="C11" s="44" t="str">
        <x:v>I felt challenged by having to gather information while controlling my gaze.</x:v>
      </x:c>
      <x:c r="D11" s="48" t="n">
        <x:f>'Custom_Raw'!G11</x:f>
        <x:v>1</x:v>
      </x:c>
      <x:c r="F11" s="95"/>
      <x:c r="G11" s="96"/>
      <x:c r="H11" s="97"/>
    </x:row>
    <x:row r="12">
      <x:c r="A12" s="44" t="str">
        <x:v>Positive affect</x:v>
      </x:c>
      <x:c r="B12" s="46" t="n">
        <x:f>'GEQ_33'!I23</x:f>
        <x:v>3</x:v>
      </x:c>
      <x:c r="C12" s="44" t="str">
        <x:v>The gaze-based suspicion mechanic made the interrogation feel more tense.</x:v>
      </x:c>
      <x:c r="D12" s="48" t="n">
        <x:f>'Custom_Raw'!H11</x:f>
        <x:v>1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'Custom_Raw'!I11</x:f>
        <x:v>3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Eventually affirmed a visual evidence-gathering goal after leading prompts.</x:v>
      </x:c>
      <x:c r="D17" s="43" t="str">
        <x:v>English summary: Eventually affirmed a visual evidence-gathering goal after leading prompts.</x:v>
      </x:c>
      <x:c r="E17" s="43" t="str">
        <x:v>00:03:43–00:03:52</x:v>
      </x:c>
      <x:c r="F17" s="43" t="str">
        <x:v>GOAL_INFO, LOW_INFORMATION</x:v>
      </x:c>
      <x:c r="G17" s="43" t="str">
        <x:v>Participant understood information gathering / memory as a core goal.; Response was too brief, contradictory or interviewer-led for confident interpretation.</x:v>
      </x:c>
      <x:c r="H17" s="43" t="str">
        <x:v>Low; very brief answers and strongly leading interviewer prompts.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Claimed continuous immersion without examples.</x:v>
      </x:c>
      <x:c r="D18" s="44" t="str">
        <x:v>English summary: Claimed continuous immersion without examples.</x:v>
      </x:c>
      <x:c r="E18" s="44" t="str">
        <x:v>00:04:15–00:04:18</x:v>
      </x:c>
      <x:c r="F18" s="44" t="str">
        <x:v>IMMERSION_NARRATIVE, LOW_INFORMATION</x:v>
      </x:c>
      <x:c r="G18" s="44" t="str">
        <x:v>Story, environment or sustained attention supported immersion.; Response was too brief, contradictory or interviewer-led for confident interpretation.</x:v>
      </x:c>
      <x:c r="H18" s="44" t="str">
        <x:v>Low; very brief answers and strongly leading interviewer prompts.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Reported no pressure.</x:v>
      </x:c>
      <x:c r="D19" s="44" t="str">
        <x:v>English summary: Reported no pressure.</x:v>
      </x:c>
      <x:c r="E19" s="44" t="str">
        <x:v>00:04:20–00:04:22</x:v>
      </x:c>
      <x:c r="F19" s="44" t="str">
        <x:v>NO_PRESSURE, LOW_INFORMATION</x:v>
      </x:c>
      <x:c r="G19" s="44" t="str">
        <x:v>Participant explicitly reported little or no challenge/pressure.; Response was too brief, contradictory or interviewer-led for confident interpretation.</x:v>
      </x:c>
      <x:c r="H19" s="44" t="str">
        <x:v>Low; very brief answers and strongly leading interviewer prompts.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Could not explain how gaze affected suspicion and had not seen the feedback effect.</x:v>
      </x:c>
      <x:c r="D20" s="44" t="str">
        <x:v>English summary: Could not explain how gaze affected suspicion and had not seen the feedback effect.</x:v>
      </x:c>
      <x:c r="E20" s="44" t="str">
        <x:v>00:04:39–00:05:03</x:v>
      </x:c>
      <x:c r="F20" s="44" t="str">
        <x:v>MODEL_AMBIGUITY, FEEDBACK_UNNOTICED</x:v>
      </x:c>
      <x:c r="G20" s="44" t="str">
        <x:v>Participant could not explain or perceived inconsistency in system behavior.; Suspicion meter/vignette was not seen or did not trigger.</x:v>
      </x:c>
      <x:c r="H20" s="44" t="str">
        <x:v>Low; very brief answers and strongly leading interviewer prompts.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Gave contradictory/unclear responses about expectation fit.</x:v>
      </x:c>
      <x:c r="D21" s="44" t="str">
        <x:v>English summary: Gave contradictory/unclear responses about expectation fit.</x:v>
      </x:c>
      <x:c r="E21" s="44" t="str">
        <x:v>00:05:18–00:05:29</x:v>
      </x:c>
      <x:c r="F21" s="44" t="str">
        <x:v>MODEL_AMBIGUITY, LOW_INFORMATION</x:v>
      </x:c>
      <x:c r="G21" s="44" t="str">
        <x:v>Participant could not explain or perceived inconsistency in system behavior.; Response was too brief, contradictory or interviewer-led for confident interpretation.</x:v>
      </x:c>
      <x:c r="H21" s="44" t="str">
        <x:v>Low; very brief answers and strongly leading interviewer prompts.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Briefly affirmed accuracy, without an explanatory example.</x:v>
      </x:c>
      <x:c r="D22" s="44" t="str">
        <x:v>English summary: Briefly affirmed accuracy, without an explanatory example.</x:v>
      </x:c>
      <x:c r="E22" s="44" t="str">
        <x:v>00:05:35–00:05:40</x:v>
      </x:c>
      <x:c r="F22" s="44" t="str">
        <x:v>TRACKING_TRUST, LOW_INFORMATION</x:v>
      </x:c>
      <x:c r="G22" s="44" t="str">
        <x:v>Participant trusted gaze tracking, usually because of the cursor/dot.; Response was too brief, contradictory or interviewer-led for confident interpretation.</x:v>
      </x:c>
      <x:c r="H22" s="44" t="str">
        <x:v>Low; very brief answers and strongly leading interviewer prompts.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GOOD</x:v>
      </x:c>
      <x:c r="D26" s="43" t="str">
        <x:v>LOW_INFORMATION</x:v>
      </x:c>
      <x:c r="E26" s="43" t="str">
        <x:v>Very brief / low information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VERY GOOD</x:v>
      </x:c>
      <x:c r="D27" s="44" t="str">
        <x:v>LOW_INFORMATION</x:v>
      </x:c>
      <x:c r="E27" s="44" t="str">
        <x:v>Very brief / low information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VERY GOOD AMAZING</x:v>
      </x:c>
      <x:c r="D28" s="44" t="str">
        <x:v>LOW_INFORMATION</x:v>
      </x:c>
      <x:c r="E28" s="44" t="str">
        <x:v>Very brief / low information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3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4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2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4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3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3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3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1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1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1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1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1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1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1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3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P08 — Dragon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High; coherent Mandarin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Dragon</x:v>
      </x:c>
      <x:c r="H5" s="43"/>
    </x:row>
    <x:row r="6">
      <x:c r="A6" s="43" t="str">
        <x:v>Competence</x:v>
      </x:c>
      <x:c r="B6" s="45" t="n">
        <x:f>'GEQ_33'!C24</x:f>
        <x:v>3.5999999999999996</x:v>
      </x:c>
      <x:c r="C6" s="43" t="str">
        <x:v>I felt the system correctly detected where I was looking.</x:v>
      </x:c>
      <x:c r="D6" s="47" t="n">
        <x:f>'Custom_Raw'!B12</x:f>
        <x:v>5</x:v>
      </x:c>
      <x:c r="F6" s="44" t="str">
        <x:v>Age (source AS)</x:v>
      </x:c>
      <x:c r="G6" s="44" t="n">
        <x:v>24</x:v>
      </x:c>
      <x:c r="H6" s="44"/>
    </x:row>
    <x:row r="7">
      <x:c r="A7" s="44" t="str">
        <x:v>Sensory &amp; imaginative immersion</x:v>
      </x:c>
      <x:c r="B7" s="46" t="n">
        <x:f>'GEQ_33'!D24</x:f>
        <x:v>3.5</x:v>
      </x:c>
      <x:c r="C7" s="44" t="str">
        <x:v>My eye movements felt like a natural part of the gameplay.</x:v>
      </x:c>
      <x:c r="D7" s="48" t="n">
        <x:f>'Custom_Raw'!C12</x:f>
        <x:v>5</x:v>
      </x:c>
      <x:c r="F7" s="44" t="str">
        <x:v>Raw B103 / B104</x:v>
      </x:c>
      <x:c r="G7" s="44" t="str">
        <x:v>5 / 5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'GEQ_33'!E24</x:f>
        <x:v>2.2</x:v>
      </x:c>
      <x:c r="C8" s="44" t="str">
        <x:v>I understood that looking at certain areas could affect the suspicion level.</x:v>
      </x:c>
      <x:c r="D8" s="48" t="n">
        <x:f>'Custom_Raw'!D12</x:f>
        <x:v>5</x:v>
      </x:c>
      <x:c r="F8" s="44" t="str">
        <x:v>Missing %</x:v>
      </x:c>
      <x:c r="G8" s="44" t="n">
        <x:v>4</x:v>
      </x:c>
      <x:c r="H8" s="44"/>
    </x:row>
    <x:row r="9">
      <x:c r="A9" s="44" t="str">
        <x:v>Tension / annoyance</x:v>
      </x:c>
      <x:c r="B9" s="46" t="n">
        <x:f>'GEQ_33'!F24</x:f>
        <x:v>1</x:v>
      </x:c>
      <x:c r="C9" s="44" t="str">
        <x:v>I understood why the suspicion level increased or decreased during the game.</x:v>
      </x:c>
      <x:c r="D9" s="48" t="n">
        <x:f>'Custom_Raw'!E12</x:f>
        <x:v>5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'GEQ_33'!G24</x:f>
        <x:v>1.6</x:v>
      </x:c>
      <x:c r="C10" s="44" t="str">
        <x:v>The suspicion meter responded to my gaze in a way that matched my expectations.</x:v>
      </x:c>
      <x:c r="D10" s="48" t="n">
        <x:f>'Custom_Raw'!F12</x:f>
        <x:v>5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'GEQ_33'!H24</x:f>
        <x:v>0.75</x:v>
      </x:c>
      <x:c r="C11" s="44" t="str">
        <x:v>I felt challenged by having to gather information while controlling my gaze.</x:v>
      </x:c>
      <x:c r="D11" s="48" t="n">
        <x:f>'Custom_Raw'!G12</x:f>
        <x:v>3</x:v>
      </x:c>
      <x:c r="F11" s="95"/>
      <x:c r="G11" s="96"/>
      <x:c r="H11" s="97"/>
    </x:row>
    <x:row r="12">
      <x:c r="A12" s="44" t="str">
        <x:v>Positive affect</x:v>
      </x:c>
      <x:c r="B12" s="46" t="n">
        <x:f>'GEQ_33'!I24</x:f>
        <x:v>3.8</x:v>
      </x:c>
      <x:c r="C12" s="44" t="str">
        <x:v>The gaze-based suspicion mechanic made the interrogation feel more tense.</x:v>
      </x:c>
      <x:c r="D12" s="48" t="n">
        <x:f>'Custom_Raw'!H12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'Custom_Raw'!I12</x:f>
        <x:v>2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task as memorizing the scene and spoken mission details when the NPC turned away.</x:v>
      </x:c>
      <x:c r="D17" s="43" t="str">
        <x:v>English summary: Understood the task as memorizing the scene and spoken mission details when the NPC turned away.</x:v>
      </x:c>
      <x:c r="E17" s="43" t="str">
        <x:v>00:00:13–00:00:23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coherent Mandarin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Felt immersed while balancing environmental search, dialogue and unpredictable NPC attention.</x:v>
      </x:c>
      <x:c r="D18" s="44" t="str">
        <x:v>English summary: Felt immersed while balancing environmental search, dialogue and unpredictable NPC attention.</x:v>
      </x:c>
      <x:c r="E18" s="44" t="str">
        <x:v>00:00:40–00:00:48</x:v>
      </x:c>
      <x:c r="F18" s="44" t="str">
        <x:v>IMMERSION_STEALTH_OPPORTUNITY, NPC_TURN_TENSION</x:v>
      </x:c>
      <x:c r="G18" s="44" t="str">
        <x:v>Covert search or NPC turn-away window supported engagement.; NPC gaze, sudden turns or uncertain safe windows created tension.</x:v>
      </x:c>
      <x:c r="H18" s="44" t="str">
        <x:v>High; coherent Mandarin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Pressure came from reading multiword clues without knowing when the NPC would turn.</x:v>
      </x:c>
      <x:c r="D19" s="44" t="str">
        <x:v>English summary: Pressure came from reading multiword clues without knowing when the NPC would turn.</x:v>
      </x:c>
      <x:c r="E19" s="44" t="str">
        <x:v>00:01:04–00:01:12</x:v>
      </x:c>
      <x:c r="F19" s="44" t="str">
        <x:v>DUAL_TASK_LOAD, NPC_TURN_TENSION</x:v>
      </x:c>
      <x:c r="G19" s="44" t="str">
        <x:v>Visual search, gaze control and audio/story competed for attention.; NPC gaze, sudden turns or uncertain safe windows created tension.</x:v>
      </x:c>
      <x:c r="H19" s="44" t="str">
        <x:v>High; coherent Mandarin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looking at the NPC as safe and inferred desk documents were especially suspicious.</x:v>
      </x:c>
      <x:c r="D20" s="44" t="str">
        <x:v>English summary: Understood looking at the NPC as safe and inferred desk documents were especially suspicious.</x:v>
      </x:c>
      <x:c r="E20" s="44" t="str">
        <x:v>00:01:37–00:01:42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High; coherent Mandarin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Did not notice the yellow/red halo and interpreted suspicion mainly as rapid gaze wandering.</x:v>
      </x:c>
      <x:c r="D21" s="44" t="str">
        <x:v>English summary: Did not notice the yellow/red halo and interpreted suspicion mainly as rapid gaze wandering.</x:v>
      </x:c>
      <x:c r="E21" s="44" t="str">
        <x:v>00:03:50–00:03:57</x:v>
      </x:c>
      <x:c r="F21" s="44" t="str">
        <x:v>FEEDBACK_UNNOTICED, MODEL_AMBIGUITY</x:v>
      </x:c>
      <x:c r="G21" s="44" t="str">
        <x:v>Suspicion meter/vignette was not seen or did not trigger.; Participant could not explain or perceived inconsistency in system behavior.</x:v>
      </x:c>
      <x:c r="H21" s="44" t="str">
        <x:v>High; coherent Mandarin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Tracking was accurate only if head/body remained still; this bodily self-monitoring reduced immersion.</x:v>
      </x:c>
      <x:c r="D22" s="44" t="str">
        <x:v>English summary: Tracking was accurate only if head/body remained still; this bodily self-monitoring reduced immersion.</x:v>
      </x:c>
      <x:c r="E22" s="44" t="str">
        <x:v>00:02:39–00:02:48</x:v>
      </x:c>
      <x:c r="F22" s="44" t="str">
        <x:v>TRACKING_CONDITIONAL, CALIBRATION_BURDEN, IMMERSION_BARRIER</x:v>
      </x:c>
      <x:c r="G22" s="44" t="str">
        <x:v>Tracking trust depended on posture or other conditions.; Calibration/recalibration or keeping still imposed effort.; Interface, modeling, calibration or mechanics disrupted immersion.</x:v>
      </x:c>
      <x:c r="H22" s="44" t="str">
        <x:v>High; coherent Mandarin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/>
      <x:c r="D26" s="43" t="str"/>
      <x:c r="E26" s="43" t="str">
        <x:v>Not coded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The gaze-based pointer makes me a bit nervous.</x:v>
      </x:c>
      <x:c r="D27" s="44" t="str"/>
      <x:c r="E27" s="44" t="str">
        <x:v>Not coded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nothing</x:v>
      </x:c>
      <x:c r="D28" s="44" t="str"/>
      <x:c r="E28" s="44" t="str">
        <x:v>Not coded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5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5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3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5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2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2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5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5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4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5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5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2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2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2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2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5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4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3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5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5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3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2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P09 — Miller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PDF | Quality: High; structured written interview. Gameplay SRT deliberately excluded.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Miller</x:v>
      </x:c>
      <x:c r="H5" s="43"/>
    </x:row>
    <x:row r="6">
      <x:c r="A6" s="43" t="str">
        <x:v>Competence</x:v>
      </x:c>
      <x:c r="B6" s="45" t="n">
        <x:f>'GEQ_33'!C25</x:f>
        <x:v>3.8</x:v>
      </x:c>
      <x:c r="C6" s="43" t="str">
        <x:v>I felt the system correctly detected where I was looking.</x:v>
      </x:c>
      <x:c r="D6" s="47" t="n">
        <x:f>'Custom_Raw'!B13</x:f>
        <x:v>4</x:v>
      </x:c>
      <x:c r="F6" s="44" t="str">
        <x:v>Age (source AS)</x:v>
      </x:c>
      <x:c r="G6" s="44" t="n">
        <x:v>26</x:v>
      </x:c>
      <x:c r="H6" s="44"/>
    </x:row>
    <x:row r="7">
      <x:c r="A7" s="44" t="str">
        <x:v>Sensory &amp; imaginative immersion</x:v>
      </x:c>
      <x:c r="B7" s="46" t="n">
        <x:f>'GEQ_33'!D25</x:f>
        <x:v>3.666666666666667</x:v>
      </x:c>
      <x:c r="C7" s="44" t="str">
        <x:v>My eye movements felt like a natural part of the gameplay.</x:v>
      </x:c>
      <x:c r="D7" s="48" t="n">
        <x:f>'Custom_Raw'!C13</x:f>
        <x:v>3</x:v>
      </x:c>
      <x:c r="F7" s="44" t="str">
        <x:v>Raw B103 / B104</x:v>
      </x:c>
      <x:c r="G7" s="44" t="str">
        <x:v>4 / 4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'GEQ_33'!E25</x:f>
        <x:v>3</x:v>
      </x:c>
      <x:c r="C8" s="44" t="str">
        <x:v>I understood that looking at certain areas could affect the suspicion level.</x:v>
      </x:c>
      <x:c r="D8" s="48" t="n">
        <x:f>'Custom_Raw'!D13</x:f>
        <x:v>3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'GEQ_33'!F25</x:f>
        <x:v>0.33333333333333326</x:v>
      </x:c>
      <x:c r="C9" s="44" t="str">
        <x:v>I understood why the suspicion level increased or decreased during the game.</x:v>
      </x:c>
      <x:c r="D9" s="48" t="n">
        <x:f>'Custom_Raw'!E13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'GEQ_33'!G25</x:f>
        <x:v>2</x:v>
      </x:c>
      <x:c r="C10" s="44" t="str">
        <x:v>The suspicion meter responded to my gaze in a way that matched my expectations.</x:v>
      </x:c>
      <x:c r="D10" s="48" t="n">
        <x:f>'Custom_Raw'!F13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'GEQ_33'!H25</x:f>
        <x:v>0.25</x:v>
      </x:c>
      <x:c r="C11" s="44" t="str">
        <x:v>I felt challenged by having to gather information while controlling my gaze.</x:v>
      </x:c>
      <x:c r="D11" s="48" t="n">
        <x:f>'Custom_Raw'!G13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'GEQ_33'!I25</x:f>
        <x:v>4</x:v>
      </x:c>
      <x:c r="C12" s="44" t="str">
        <x:v>The gaze-based suspicion mechanic made the interrogation feel more tense.</x:v>
      </x:c>
      <x:c r="D12" s="48" t="n">
        <x:f>'Custom_Raw'!H13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'Custom_Raw'!I13</x:f>
        <x:v>1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Goal was to remember as many details as possible.</x:v>
      </x:c>
      <x:c r="D17" s="43" t="str">
        <x:v>My goal was to remember as many details as possible.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structured written interview. Gameplay SRT deliberately excluded.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Most engaged while covertly looking around without NPC detection.</x:v>
      </x:c>
      <x:c r="D18" s="44" t="str">
        <x:v>trying to sneak a look around the room without being noticed by the NPC</x:v>
      </x:c>
      <x:c r="E18" s="44" t="str">
        <x:v>Q2</x:v>
      </x:c>
      <x:c r="F18" s="44" t="str">
        <x:v>IMMERSION_STEALTH_OPPORTUNITY</x:v>
      </x:c>
      <x:c r="G18" s="44" t="str">
        <x:v>Covert search or NPC turn-away window supported engagement.</x:v>
      </x:c>
      <x:c r="H18" s="44" t="str">
        <x:v>High; structured written interview. Gameplay SRT deliberately excluded.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Reported little pressure because the NPC did not exert much pressure.</x:v>
      </x:c>
      <x:c r="D19" s="44" t="str">
        <x:v>I didn’t really feel nervous or pressured</x:v>
      </x:c>
      <x:c r="E19" s="44" t="str">
        <x:v>Q3</x:v>
      </x:c>
      <x:c r="F19" s="44" t="str">
        <x:v>NO_PRESSURE</x:v>
      </x:c>
      <x:c r="G19" s="44" t="str">
        <x:v>Participant explicitly reported little or no challenge/pressure.</x:v>
      </x:c>
      <x:c r="H19" s="44" t="str">
        <x:v>High; structured written interview. Gameplay SRT deliberately excluded.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prolonged looking away as risky and returned gaze before red feedback.</x:v>
      </x:c>
      <x:c r="D20" s="44" t="str">
        <x:v>looking around for too long would increase the suspicion level</x:v>
      </x:c>
      <x:c r="E20" s="44" t="str">
        <x:v>Q4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High; structured written interview. Gameplay SRT deliberately excluded.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Meter matched expectations.</x:v>
      </x:c>
      <x:c r="D21" s="44" t="str">
        <x:v>Yes, it did.</x:v>
      </x:c>
      <x:c r="E21" s="44" t="str">
        <x:v>Q5</x:v>
      </x:c>
      <x:c r="F21" s="44" t="str">
        <x:v>FEEDBACK_EXPECTED</x:v>
      </x:c>
      <x:c r="G21" s="44" t="str">
        <x:v>Feedback behavior broadly matched expectations.</x:v>
      </x:c>
      <x:c r="H21" s="44" t="str">
        <x:v>High; structured written interview. Gameplay SRT deliberately excluded.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Relied on accurate tracking to control covert looks.</x:v>
      </x:c>
      <x:c r="D22" s="44" t="str">
        <x:v>I actually relied on the eye-tracking system to sneak looks around the room.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 Gameplay SRT deliberately excluded.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While intently listening and taking notes on clues</x:v>
      </x:c>
      <x:c r="D26" s="43" t="str"/>
      <x:c r="E26" s="43" t="str">
        <x:v>Not coded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just so-so</x:v>
      </x:c>
      <x:c r="D27" s="44" t="str"/>
      <x:c r="E27" s="44" t="str">
        <x:v>Not coded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</x:v>
      </x:c>
      <x:c r="D28" s="44" t="str"/>
      <x:c r="E28" s="44" t="str">
        <x:v>Not coded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5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5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5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5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5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5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5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5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2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5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5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5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1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4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5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5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3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3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1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P10 — Beate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Moderate-high; German ASR with some noise outside interview section.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Beate</x:v>
      </x:c>
      <x:c r="H5" s="43"/>
    </x:row>
    <x:row r="6">
      <x:c r="A6" s="43" t="str">
        <x:v>Competence</x:v>
      </x:c>
      <x:c r="B6" s="45" t="n">
        <x:f>'GEQ_33'!C26</x:f>
        <x:v>2</x:v>
      </x:c>
      <x:c r="C6" s="43" t="str">
        <x:v>I felt the system correctly detected where I was looking.</x:v>
      </x:c>
      <x:c r="D6" s="47" t="n">
        <x:f>'Custom_Raw'!B14</x:f>
        <x:v>5</x:v>
      </x:c>
      <x:c r="F6" s="44" t="str">
        <x:v>Age (source AS)</x:v>
      </x:c>
      <x:c r="G6" s="44" t="n">
        <x:v>56</x:v>
      </x:c>
      <x:c r="H6" s="44"/>
    </x:row>
    <x:row r="7">
      <x:c r="A7" s="44" t="str">
        <x:v>Sensory &amp; imaginative immersion</x:v>
      </x:c>
      <x:c r="B7" s="46" t="n">
        <x:f>'GEQ_33'!D26</x:f>
        <x:v>2.5</x:v>
      </x:c>
      <x:c r="C7" s="44" t="str">
        <x:v>My eye movements felt like a natural part of the gameplay.</x:v>
      </x:c>
      <x:c r="D7" s="48" t="n">
        <x:f>'Custom_Raw'!C14</x:f>
        <x:v>5</x:v>
      </x:c>
      <x:c r="F7" s="44" t="str">
        <x:v>Raw B103 / B104</x:v>
      </x:c>
      <x:c r="G7" s="44" t="str">
        <x:v>3 / 5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'GEQ_33'!E26</x:f>
        <x:v>2.8</x:v>
      </x:c>
      <x:c r="C8" s="44" t="str">
        <x:v>I understood that looking at certain areas could affect the suspicion level.</x:v>
      </x:c>
      <x:c r="D8" s="48" t="n">
        <x:f>'Custom_Raw'!D14</x:f>
        <x:v>4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'GEQ_33'!F26</x:f>
        <x:v>0</x:v>
      </x:c>
      <x:c r="C9" s="44" t="str">
        <x:v>I understood why the suspicion level increased or decreased during the game.</x:v>
      </x:c>
      <x:c r="D9" s="48" t="n">
        <x:f>'Custom_Raw'!E14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'GEQ_33'!G26</x:f>
        <x:v>2.2</x:v>
      </x:c>
      <x:c r="C10" s="44" t="str">
        <x:v>The suspicion meter responded to my gaze in a way that matched my expectations.</x:v>
      </x:c>
      <x:c r="D10" s="48" t="n">
        <x:f>'Custom_Raw'!F14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'GEQ_33'!H26</x:f>
        <x:v>1</x:v>
      </x:c>
      <x:c r="C11" s="44" t="str">
        <x:v>I felt challenged by having to gather information while controlling my gaze.</x:v>
      </x:c>
      <x:c r="D11" s="48" t="n">
        <x:f>'Custom_Raw'!G14</x:f>
        <x:v>5</x:v>
      </x:c>
      <x:c r="F11" s="95"/>
      <x:c r="G11" s="96"/>
      <x:c r="H11" s="97"/>
    </x:row>
    <x:row r="12">
      <x:c r="A12" s="44" t="str">
        <x:v>Positive affect</x:v>
      </x:c>
      <x:c r="B12" s="46" t="n">
        <x:f>'GEQ_33'!I26</x:f>
        <x:v>2.8</x:v>
      </x:c>
      <x:c r="C12" s="44" t="str">
        <x:v>The gaze-based suspicion mechanic made the interrogation feel more tense.</x:v>
      </x:c>
      <x:c r="D12" s="48" t="n">
        <x:f>'Custom_Raw'!H14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'Custom_Raw'!I14</x:f>
        <x:v>3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she needed to look, listen and later answer questions.</x:v>
      </x:c>
      <x:c r="D17" s="43" t="str">
        <x:v>Ich muss mir das angucken…Ich muss zuhören.</x:v>
      </x:c>
      <x:c r="E17" s="43" t="str">
        <x:v>00:14:01–00:14:11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Moderate-high; German ASR with some noise outside interview section.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Most engaged when the NPC turned to make a phone call, allowing calm visual search.</x:v>
      </x:c>
      <x:c r="D18" s="44" t="str">
        <x:v>als er sich umgedreht hat und telefoniert hat, weil ich dann in Ruhe gucken konnte</x:v>
      </x:c>
      <x:c r="E18" s="44" t="str">
        <x:v>00:10:09–00:10:25</x:v>
      </x:c>
      <x:c r="F18" s="44" t="str">
        <x:v>IMMERSION_STEALTH_OPPORTUNITY, NPC_TURN_TENSION</x:v>
      </x:c>
      <x:c r="G18" s="44" t="str">
        <x:v>Covert search or NPC turn-away window supported engagement.; NPC gaze, sudden turns or uncertain safe windows created tension.</x:v>
      </x:c>
      <x:c r="H18" s="44" t="str">
        <x:v>Moderate-high; German ASR with some noise outside interview section.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Denied time pressure, but elsewhere reported prioritizing visual information over audio.</x:v>
      </x:c>
      <x:c r="D19" s="44" t="str">
        <x:v>Nee, Zeitdruck nicht.</x:v>
      </x:c>
      <x:c r="E19" s="44" t="str">
        <x:v>00:14:27–00:14:35</x:v>
      </x:c>
      <x:c r="F19" s="44" t="str">
        <x:v>NO_PRESSURE, STORY_AUDIO_LOSS</x:v>
      </x:c>
      <x:c r="G19" s="44" t="str">
        <x:v>Participant explicitly reported little or no challenge/pressure.; Attention to gaze/visual search reduced story or audio processing.</x:v>
      </x:c>
      <x:c r="H19" s="44" t="str">
        <x:v>Moderate-high; German ASR with some noise outside interview section.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Believed gaze control worked as intended.</x:v>
      </x:c>
      <x:c r="D20" s="44" t="str">
        <x:v>ich hab dahin geguckt. Das hat schon geklappt.</x:v>
      </x:c>
      <x:c r="E20" s="44" t="str">
        <x:v>00:14:45–00:14:51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Moderate-high; German ASR with some noise outside interview section.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Generally matched expectations, though initially difficult.</x:v>
      </x:c>
      <x:c r="D21" s="44" t="str">
        <x:v>Ich glaube schon…Am Anfang so ein bisschen…Aber es ist echt schwierig.</x:v>
      </x:c>
      <x:c r="E21" s="44" t="str">
        <x:v>00:14:55–00:15:05</x:v>
      </x:c>
      <x:c r="F21" s="44" t="str">
        <x:v>FEEDBACK_EXPECTED, MODEL_AMBIGUITY</x:v>
      </x:c>
      <x:c r="G21" s="44" t="str">
        <x:v>Feedback behavior broadly matched expectations.; Participant could not explain or perceived inconsistency in system behavior.</x:v>
      </x:c>
      <x:c r="H21" s="44" t="str">
        <x:v>Moderate-high; German ASR with some noise outside interview section.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green dot appeared where she looked.</x:v>
      </x:c>
      <x:c r="D22" s="44" t="str">
        <x:v>Wenn ich da runtergeguckt habe, dann war da der grüne Punkt. Das hat wirklich funktioniert.</x:v>
      </x:c>
      <x:c r="E22" s="44" t="str">
        <x:v>00:15:16–00:15:31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Moderate-high; German ASR with some noise outside interview section.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Beim Telefonieren konnte ich mich in Ruhe umgucken</x:v>
      </x:c>
      <x:c r="D26" s="43" t="str">
        <x:v>IMMERSION_STEALTH_OPPORTUNITY, STORY_AUDIO_LOSS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ich habe mir fast nur auf das Visuelle konzentiert und das Hoeren vergessen</x:v>
      </x:c>
      <x:c r="D27" s="44" t="str">
        <x:v>IMMERSION_STEALTH_OPPORTUNITY, STORY_AUDIO_LOSS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nein</x:v>
      </x:c>
      <x:c r="D28" s="44" t="str">
        <x:v>IMMERSION_STEALTH_OPPORTUNITY, STORY_AUDIO_LOSS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3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5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4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3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3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3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2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2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2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2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5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1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5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2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2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5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5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3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P11 — Franzi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High for interview; initial calibration failed and interview includes strong clarification dialogue.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Franzi</x:v>
      </x:c>
      <x:c r="H5" s="43"/>
    </x:row>
    <x:row r="6">
      <x:c r="A6" s="43" t="str">
        <x:v>Competence</x:v>
      </x:c>
      <x:c r="B6" s="45" t="n">
        <x:f>'GEQ_33'!C27</x:f>
        <x:v>0.19999999999999996</x:v>
      </x:c>
      <x:c r="C6" s="43" t="str">
        <x:v>I felt the system correctly detected where I was looking.</x:v>
      </x:c>
      <x:c r="D6" s="47" t="n">
        <x:f>'Custom_Raw'!B15</x:f>
        <x:v>5</x:v>
      </x:c>
      <x:c r="F6" s="44" t="str">
        <x:v>Age (source AS)</x:v>
      </x:c>
      <x:c r="G6" s="44" t="n">
        <x:v>26</x:v>
      </x:c>
      <x:c r="H6" s="44"/>
    </x:row>
    <x:row r="7">
      <x:c r="A7" s="44" t="str">
        <x:v>Sensory &amp; imaginative immersion</x:v>
      </x:c>
      <x:c r="B7" s="46" t="n">
        <x:f>'GEQ_33'!D27</x:f>
        <x:v>2.3333333333333335</x:v>
      </x:c>
      <x:c r="C7" s="44" t="str">
        <x:v>My eye movements felt like a natural part of the gameplay.</x:v>
      </x:c>
      <x:c r="D7" s="48" t="n">
        <x:f>'Custom_Raw'!C15</x:f>
        <x:v>5</x:v>
      </x:c>
      <x:c r="F7" s="44" t="str">
        <x:v>Raw B103 / B104</x:v>
      </x:c>
      <x:c r="G7" s="44" t="str">
        <x:v>4 / 5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'GEQ_33'!E27</x:f>
        <x:v>1.6</x:v>
      </x:c>
      <x:c r="C8" s="44" t="str">
        <x:v>I understood that looking at certain areas could affect the suspicion level.</x:v>
      </x:c>
      <x:c r="D8" s="48" t="n">
        <x:f>'Custom_Raw'!D15</x:f>
        <x:v>5</x:v>
      </x:c>
      <x:c r="F8" s="44" t="str">
        <x:v>Missing %</x:v>
      </x:c>
      <x:c r="G8" s="44" t="n">
        <x:v>6</x:v>
      </x:c>
      <x:c r="H8" s="44"/>
    </x:row>
    <x:row r="9">
      <x:c r="A9" s="44" t="str">
        <x:v>Tension / annoyance</x:v>
      </x:c>
      <x:c r="B9" s="46" t="n">
        <x:f>'GEQ_33'!F27</x:f>
        <x:v>0.33333333333333326</x:v>
      </x:c>
      <x:c r="C9" s="44" t="str">
        <x:v>I understood why the suspicion level increased or decreased during the game.</x:v>
      </x:c>
      <x:c r="D9" s="48" t="n">
        <x:f>'Custom_Raw'!E15</x:f>
        <x:v>1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'GEQ_33'!G27</x:f>
        <x:v>2</x:v>
      </x:c>
      <x:c r="C10" s="44" t="str">
        <x:v>The suspicion meter responded to my gaze in a way that matched my expectations.</x:v>
      </x:c>
      <x:c r="D10" s="48" t="n">
        <x:f>'Custom_Raw'!F15</x:f>
        <x:v>1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'GEQ_33'!H27</x:f>
        <x:v>0</x:v>
      </x:c>
      <x:c r="C11" s="44" t="str">
        <x:v>I felt challenged by having to gather information while controlling my gaze.</x:v>
      </x:c>
      <x:c r="D11" s="48" t="n">
        <x:f>'Custom_Raw'!G15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'GEQ_33'!I27</x:f>
        <x:v>2.4</x:v>
      </x:c>
      <x:c r="C12" s="44" t="str">
        <x:v>The gaze-based suspicion mechanic made the interrogation feel more tense.</x:v>
      </x:c>
      <x:c r="D12" s="48" t="n">
        <x:f>'Custom_Raw'!H15</x:f>
        <x:v>3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'Custom_Raw'!I15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Misunderstood the goal as simply not being caught/maintaining eye contact rather than collecting clues.</x:v>
      </x:c>
      <x:c r="D17" s="43" t="str">
        <x:v>I thought that the goal was not getting called…Or looking around.</x:v>
      </x:c>
      <x:c r="E17" s="43" t="str">
        <x:v>00:08:44–00:08:54</x:v>
      </x:c>
      <x:c r="F17" s="43" t="str">
        <x:v>GOAL_AMBIGUITY, GAZE_OVERCONTROL</x:v>
      </x:c>
      <x:c r="G17" s="43" t="str">
        <x:v>Participant did not initially understand the task or dual goal.; Participant adopted rigid/frozen gaze to avoid suspicion.</x:v>
      </x:c>
      <x:c r="H17" s="43" t="str">
        <x:v>High for interview; initial calibration failed and interview includes strong clarification dialogue.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Phone call/turn-away moment enabled environmental search, but she was confused about what to do.</x:v>
      </x:c>
      <x:c r="D18" s="44" t="str">
        <x:v>He was on the telephone and turned around…But I was confused.</x:v>
      </x:c>
      <x:c r="E18" s="44" t="str">
        <x:v>00:09:08–00:09:31</x:v>
      </x:c>
      <x:c r="F18" s="44" t="str">
        <x:v>IMMERSION_STEALTH_OPPORTUNITY, GOAL_AMBIGUITY</x:v>
      </x:c>
      <x:c r="G18" s="44" t="str">
        <x:v>Covert search or NPC turn-away window supported engagement.; Participant did not initially understand the task or dual goal.</x:v>
      </x:c>
      <x:c r="H18" s="44" t="str">
        <x:v>High for interview; initial calibration failed and interview includes strong clarification dialogue.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Reported no challenge because the task itself was unclear.</x:v>
      </x:c>
      <x:c r="D19" s="44" t="str">
        <x:v>No, because I didn't know what to do.</x:v>
      </x:c>
      <x:c r="E19" s="44" t="str">
        <x:v>00:10:06–00:10:12</x:v>
      </x:c>
      <x:c r="F19" s="44" t="str">
        <x:v>NO_PRESSURE, GOAL_AMBIGUITY</x:v>
      </x:c>
      <x:c r="G19" s="44" t="str">
        <x:v>Participant explicitly reported little or no challenge/pressure.; Participant did not initially understand the task or dual goal.</x:v>
      </x:c>
      <x:c r="H19" s="44" t="str">
        <x:v>High for interview; initial calibration failed and interview includes strong clarification dialogue.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Assumed gaze wandering would increase suspicion and kept eyes fixed.</x:v>
      </x:c>
      <x:c r="D20" s="44" t="str">
        <x:v>looking around would make me more suspicious</x:v>
      </x:c>
      <x:c r="E20" s="44" t="str">
        <x:v>00:10:34–00:10:43</x:v>
      </x:c>
      <x:c r="F20" s="44" t="str">
        <x:v>MODEL_UNDERSTOOD, GAZE_OVERCONTROL</x:v>
      </x:c>
      <x:c r="G20" s="44" t="str">
        <x:v>Participant articulated the intended gaze-to-suspicion rule.; Participant adopted rigid/frozen gaze to avoid suspicion.</x:v>
      </x:c>
      <x:c r="H20" s="44" t="str">
        <x:v>High for interview; initial calibration failed and interview includes strong clarification dialogue.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Did not notice the suspicion meter.</x:v>
      </x:c>
      <x:c r="D21" s="44" t="str">
        <x:v>I didn't notice the suspicious matter</x:v>
      </x:c>
      <x:c r="E21" s="44" t="str">
        <x:v>00:11:45–00:11:53</x:v>
      </x:c>
      <x:c r="F21" s="44" t="str">
        <x:v>FEEDBACK_UNNOTICED</x:v>
      </x:c>
      <x:c r="G21" s="44" t="str">
        <x:v>Suspicion meter/vignette was not seen or did not trigger.</x:v>
      </x:c>
      <x:c r="H21" s="44" t="str">
        <x:v>High for interview; initial calibration failed and interview includes strong clarification dialogue.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gaze accuracy after repeated calibration; initially required three attempts.</x:v>
      </x:c>
      <x:c r="D22" s="44" t="str">
        <x:v>at first it didn't work…and it ended up working, so I trusted the system</x:v>
      </x:c>
      <x:c r="E22" s="44" t="str">
        <x:v>00:12:38–00:12:50</x:v>
      </x:c>
      <x:c r="F22" s="44" t="str">
        <x:v>TRACKING_TRUST, CALIBRATION_BURDEN</x:v>
      </x:c>
      <x:c r="G22" s="44" t="str">
        <x:v>Participant trusted gaze tracking, usually because of the cursor/dot.; Calibration/recalibration or keeping still imposed effort.</x:v>
      </x:c>
      <x:c r="H22" s="44" t="str">
        <x:v>High for interview; initial calibration failed and interview includes strong clarification dialogue.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non'e</x:v>
      </x:c>
      <x:c r="D26" s="43" t="str">
        <x:v>LOW_INFORMATION</x:v>
      </x:c>
      <x:c r="E26" s="43" t="str">
        <x:v>Partial; Q2-Q3 missing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/>
      <x:c r="D27" s="44" t="str">
        <x:v>LOW_INFORMATION</x:v>
      </x:c>
      <x:c r="E27" s="44" t="str">
        <x:v>Partial; Q2-Q3 missing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/>
      <x:c r="D28" s="44" t="str">
        <x:v>LOW_INFORMATION</x:v>
      </x:c>
      <x:c r="E28" s="44" t="str">
        <x:v>Partial; Q2-Q3 missing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1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1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4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5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1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3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2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1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1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1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1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2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1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5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1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1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5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1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1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3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P12 — Cindy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High; coherent Mandarin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Cindy</x:v>
      </x:c>
      <x:c r="H5" s="43"/>
    </x:row>
    <x:row r="6">
      <x:c r="A6" s="43" t="str">
        <x:v>Competence</x:v>
      </x:c>
      <x:c r="B6" s="45" t="n">
        <x:f>'GEQ_33'!C28</x:f>
        <x:v>3</x:v>
      </x:c>
      <x:c r="C6" s="43" t="str">
        <x:v>I felt the system correctly detected where I was looking.</x:v>
      </x:c>
      <x:c r="D6" s="47" t="n">
        <x:f>'Custom_Raw'!B16</x:f>
        <x:v>4</x:v>
      </x:c>
      <x:c r="F6" s="44" t="str">
        <x:v>Age (source AS)</x:v>
      </x:c>
      <x:c r="G6" s="44" t="n">
        <x:v>28</x:v>
      </x:c>
      <x:c r="H6" s="44"/>
    </x:row>
    <x:row r="7">
      <x:c r="A7" s="44" t="str">
        <x:v>Sensory &amp; imaginative immersion</x:v>
      </x:c>
      <x:c r="B7" s="46" t="n">
        <x:f>'GEQ_33'!D28</x:f>
        <x:v>3</x:v>
      </x:c>
      <x:c r="C7" s="44" t="str">
        <x:v>My eye movements felt like a natural part of the gameplay.</x:v>
      </x:c>
      <x:c r="D7" s="48" t="n">
        <x:f>'Custom_Raw'!C16</x:f>
        <x:v>4</x:v>
      </x:c>
      <x:c r="F7" s="44" t="str">
        <x:v>Raw B103 / B104</x:v>
      </x:c>
      <x:c r="G7" s="44" t="str">
        <x:v>4 / 4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'GEQ_33'!E28</x:f>
        <x:v>2.4</x:v>
      </x:c>
      <x:c r="C8" s="44" t="str">
        <x:v>I understood that looking at certain areas could affect the suspicion level.</x:v>
      </x:c>
      <x:c r="D8" s="48" t="n">
        <x:f>'Custom_Raw'!D16</x:f>
        <x:v>3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'GEQ_33'!F28</x:f>
        <x:v>0.6666666666666667</x:v>
      </x:c>
      <x:c r="C9" s="44" t="str">
        <x:v>I understood why the suspicion level increased or decreased during the game.</x:v>
      </x:c>
      <x:c r="D9" s="48" t="n">
        <x:f>'Custom_Raw'!E16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'GEQ_33'!G28</x:f>
        <x:v>1.7999999999999998</x:v>
      </x:c>
      <x:c r="C10" s="44" t="str">
        <x:v>The suspicion meter responded to my gaze in a way that matched my expectations.</x:v>
      </x:c>
      <x:c r="D10" s="48" t="n">
        <x:f>'Custom_Raw'!F16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'GEQ_33'!H28</x:f>
        <x:v>0.75</x:v>
      </x:c>
      <x:c r="C11" s="44" t="str">
        <x:v>I felt challenged by having to gather information while controlling my gaze.</x:v>
      </x:c>
      <x:c r="D11" s="48" t="n">
        <x:f>'Custom_Raw'!G16</x:f>
        <x:v>3</x:v>
      </x:c>
      <x:c r="F11" s="95"/>
      <x:c r="G11" s="96"/>
      <x:c r="H11" s="97"/>
    </x:row>
    <x:row r="12">
      <x:c r="A12" s="44" t="str">
        <x:v>Positive affect</x:v>
      </x:c>
      <x:c r="B12" s="46" t="n">
        <x:f>'GEQ_33'!I28</x:f>
        <x:v>3</x:v>
      </x:c>
      <x:c r="C12" s="44" t="str">
        <x:v>The gaze-based suspicion mechanic made the interrogation feel more tense.</x:v>
      </x:c>
      <x:c r="D12" s="48" t="n">
        <x:f>'Custom_Raw'!H16</x:f>
        <x:v>3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'Custom_Raw'!I16</x:f>
        <x:v>1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goal as collecting surrounding information when the NPC was not watching.</x:v>
      </x:c>
      <x:c r="D17" s="43" t="str">
        <x:v>English summary: Understood the goal as collecting surrounding information when the NPC was not watching.</x:v>
      </x:c>
      <x:c r="E17" s="43" t="str">
        <x:v>00:00:06–00:00:14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coherent Mandarin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Character modeling reduced immersion, though the task remained understandable.</x:v>
      </x:c>
      <x:c r="D18" s="44" t="str">
        <x:v>English summary: Character modeling reduced immersion, though the task remained understandable.</x:v>
      </x:c>
      <x:c r="E18" s="44" t="str">
        <x:v>00:00:22–00:00:29</x:v>
      </x:c>
      <x:c r="F18" s="44" t="str">
        <x:v>IMMERSION_BARRIER</x:v>
      </x:c>
      <x:c r="G18" s="44" t="str">
        <x:v>Interface, modeling, calibration or mechanics disrupted immersion.</x:v>
      </x:c>
      <x:c r="H18" s="44" t="str">
        <x:v>High; coherent Mandarin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Most flustered when the NPC suddenly turned to look at her.</x:v>
      </x:c>
      <x:c r="D19" s="44" t="str">
        <x:v>English summary: Most flustered when the NPC suddenly turned to look at her.</x:v>
      </x:c>
      <x:c r="E19" s="44" t="str">
        <x:v>00:00:40–00:00:51</x:v>
      </x:c>
      <x:c r="F19" s="44" t="str">
        <x:v>NPC_TURN_TENSION, DUAL_TASK_LOAD</x:v>
      </x:c>
      <x:c r="G19" s="44" t="str">
        <x:v>NPC gaze, sudden turns or uncertain safe windows created tension.; Visual search, gaze control and audio/story competed for attention.</x:v>
      </x:c>
      <x:c r="H19" s="44" t="str">
        <x:v>High; coherent Mandarin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that visible wandering under observation should raise suspicion.</x:v>
      </x:c>
      <x:c r="D20" s="44" t="str">
        <x:v>English summary: Understood that visible wandering under observation should raise suspicion.</x:v>
      </x:c>
      <x:c r="E20" s="44" t="str">
        <x:v>00:00:59–00:01:08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High; coherent Mandarin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The interface made the meter easy to miss; red/yellow feedback conveyed only a coarse warning.</x:v>
      </x:c>
      <x:c r="D21" s="44" t="str">
        <x:v>English summary: The interface made the meter easy to miss; red/yellow feedback conveyed only a coarse warning.</x:v>
      </x:c>
      <x:c r="E21" s="44" t="str">
        <x:v>00:01:22–00:01:29</x:v>
      </x:c>
      <x:c r="F21" s="44" t="str">
        <x:v>FEEDBACK_UNNOTICED, FEEDBACK_GRANULARITY</x:v>
      </x:c>
      <x:c r="G21" s="44" t="str">
        <x:v>Suspicion meter/vignette was not seen or did not trigger.; Participant wanted clearer or graded feedback about suspicion state.</x:v>
      </x:c>
      <x:c r="H21" s="44" t="str">
        <x:v>High; coherent Mandarin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on-screen cursor closely followed gaze position.</x:v>
      </x:c>
      <x:c r="D22" s="44" t="str">
        <x:v>English summary: Trusted tracking because the on-screen cursor closely followed gaze position.</x:v>
      </x:c>
      <x:c r="E22" s="44" t="str">
        <x:v>00:02:10–00:02:21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coherent Mandarin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The tense information-gathering process really sucks me in</x:v>
      </x:c>
      <x:c r="D26" s="43" t="str"/>
      <x:c r="E26" s="43" t="str">
        <x:v>Not coded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People staring at me makes me feel a little uncomfortable.</x:v>
      </x:c>
      <x:c r="D27" s="44" t="str"/>
      <x:c r="E27" s="44" t="str">
        <x:v>Not coded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</x:v>
      </x:c>
      <x:c r="D28" s="44" t="str"/>
      <x:c r="E28" s="44" t="str">
        <x:v>Not coded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3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2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2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1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4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4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2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5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2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2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4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4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3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3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3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1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P13 — Hanna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Moderate-high; English ASR with some repeated/unclear words.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Hanna</x:v>
      </x:c>
      <x:c r="H5" s="43"/>
    </x:row>
    <x:row r="6">
      <x:c r="A6" s="43" t="str">
        <x:v>Competence</x:v>
      </x:c>
      <x:c r="B6" s="45" t="n">
        <x:f>'GEQ_33'!C29</x:f>
        <x:v>3</x:v>
      </x:c>
      <x:c r="C6" s="43" t="str">
        <x:v>I felt the system correctly detected where I was looking.</x:v>
      </x:c>
      <x:c r="D6" s="47" t="n">
        <x:f>'Custom_Raw'!B17</x:f>
        <x:v>4</x:v>
      </x:c>
      <x:c r="F6" s="44" t="str">
        <x:v>Age (source AS)</x:v>
      </x:c>
      <x:c r="G6" s="44" t="n">
        <x:v>22</x:v>
      </x:c>
      <x:c r="H6" s="44"/>
    </x:row>
    <x:row r="7">
      <x:c r="A7" s="44" t="str">
        <x:v>Sensory &amp; imaginative immersion</x:v>
      </x:c>
      <x:c r="B7" s="46" t="n">
        <x:f>'GEQ_33'!D29</x:f>
        <x:v>3</x:v>
      </x:c>
      <x:c r="C7" s="44" t="str">
        <x:v>My eye movements felt like a natural part of the gameplay.</x:v>
      </x:c>
      <x:c r="D7" s="48" t="n">
        <x:f>'Custom_Raw'!C17</x:f>
        <x:v>3</x:v>
      </x:c>
      <x:c r="F7" s="44" t="str">
        <x:v>Raw B103 / B104</x:v>
      </x:c>
      <x:c r="G7" s="44" t="str">
        <x:v>2 / 2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'GEQ_33'!E29</x:f>
        <x:v>2.8</x:v>
      </x:c>
      <x:c r="C8" s="44" t="str">
        <x:v>I understood that looking at certain areas could affect the suspicion level.</x:v>
      </x:c>
      <x:c r="D8" s="48" t="n">
        <x:f>'Custom_Raw'!D17</x:f>
        <x:v>4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'GEQ_33'!F29</x:f>
        <x:v>0.33333333333333326</x:v>
      </x:c>
      <x:c r="C9" s="44" t="str">
        <x:v>I understood why the suspicion level increased or decreased during the game.</x:v>
      </x:c>
      <x:c r="D9" s="48" t="n">
        <x:f>'Custom_Raw'!E17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'GEQ_33'!G29</x:f>
        <x:v>1.6</x:v>
      </x:c>
      <x:c r="C10" s="44" t="str">
        <x:v>The suspicion meter responded to my gaze in a way that matched my expectations.</x:v>
      </x:c>
      <x:c r="D10" s="48" t="n">
        <x:f>'Custom_Raw'!F17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'GEQ_33'!H29</x:f>
        <x:v>0</x:v>
      </x:c>
      <x:c r="C11" s="44" t="str">
        <x:v>I felt challenged by having to gather information while controlling my gaze.</x:v>
      </x:c>
      <x:c r="D11" s="48" t="n">
        <x:f>'Custom_Raw'!G17</x:f>
        <x:v>3</x:v>
      </x:c>
      <x:c r="F11" s="95"/>
      <x:c r="G11" s="96"/>
      <x:c r="H11" s="97"/>
    </x:row>
    <x:row r="12">
      <x:c r="A12" s="44" t="str">
        <x:v>Positive affect</x:v>
      </x:c>
      <x:c r="B12" s="46" t="n">
        <x:f>'GEQ_33'!I29</x:f>
        <x:v>3</x:v>
      </x:c>
      <x:c r="C12" s="44" t="str">
        <x:v>The gaze-based suspicion mechanic made the interrogation feel more tense.</x:v>
      </x:c>
      <x:c r="D12" s="48" t="n">
        <x:f>'Custom_Raw'!H17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'Custom_Raw'!I17</x:f>
        <x:v>2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the dual goal of maintaining gaze to avoid arrest while gathering information.</x:v>
      </x:c>
      <x:c r="D17" s="43" t="str">
        <x:v>stare my eyes on him and not let him arrest me and…gathering more information</x:v>
      </x:c>
      <x:c r="E17" s="43" t="str">
        <x:v>00:00:18–00:00:35</x:v>
      </x:c>
      <x:c r="F17" s="43" t="str">
        <x:v>GOAL_INFO, MODEL_UNDERSTOOD</x:v>
      </x:c>
      <x:c r="G17" s="43" t="str">
        <x:v>Participant understood information gathering / memory as a core goal.; Participant articulated the intended gaze-to-suspicion rule.</x:v>
      </x:c>
      <x:c r="H17" s="43" t="str">
        <x:v>Moderate-high; English ASR with some repeated/unclear words.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Environment, music and the official established immersion at the beginning.</x:v>
      </x:c>
      <x:c r="D18" s="44" t="str">
        <x:v>the environment, the music and faced with a new official all make me immersed</x:v>
      </x:c>
      <x:c r="E18" s="44" t="str">
        <x:v>00:00:48–00:00:57</x:v>
      </x:c>
      <x:c r="F18" s="44" t="str">
        <x:v>IMMERSION_NARRATIVE</x:v>
      </x:c>
      <x:c r="G18" s="44" t="str">
        <x:v>Story, environment or sustained attention supported immersion.</x:v>
      </x:c>
      <x:c r="H18" s="44" t="str">
        <x:v>Moderate-high; English ASR with some repeated/unclear words.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Red/green gaze feedback created challenge and warning-related pressure.</x:v>
      </x:c>
      <x:c r="D19" s="44" t="str">
        <x:v>the red color usually have the meaning of warning or other emergency</x:v>
      </x:c>
      <x:c r="E19" s="44" t="str">
        <x:v>00:01:23–00:01:33</x:v>
      </x:c>
      <x:c r="F19" s="44" t="str">
        <x:v>NPC_TURN_TENSION, FEEDBACK_EXPECTED</x:v>
      </x:c>
      <x:c r="G19" s="44" t="str">
        <x:v>NPC gaze, sudden turns or uncertain safe windows created tension.; Feedback behavior broadly matched expectations.</x:v>
      </x:c>
      <x:c r="H19" s="44" t="str">
        <x:v>Moderate-high; English ASR with some repeated/unclear words.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Believed looking below the face could trigger red feedback and focused on the face.</x:v>
      </x:c>
      <x:c r="D20" s="44" t="str">
        <x:v>I must focus on the position only on his face</x:v>
      </x:c>
      <x:c r="E20" s="44" t="str">
        <x:v>00:02:00–00:02:20</x:v>
      </x:c>
      <x:c r="F20" s="44" t="str">
        <x:v>MODEL_UNDERSTOOD, GAZE_OVERCONTROL</x:v>
      </x:c>
      <x:c r="G20" s="44" t="str">
        <x:v>Participant articulated the intended gaze-to-suspicion rule.; Participant adopted rigid/frozen gaze to avoid suspicion.</x:v>
      </x:c>
      <x:c r="H20" s="44" t="str">
        <x:v>Moderate-high; English ASR with some repeated/unclear words.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Described the system as timely and accurate.</x:v>
      </x:c>
      <x:c r="D21" s="44" t="str">
        <x:v>it can trace my eyesight timely and correctly</x:v>
      </x:c>
      <x:c r="E21" s="44" t="str">
        <x:v>00:02:20–00:02:32</x:v>
      </x:c>
      <x:c r="F21" s="44" t="str">
        <x:v>FEEDBACK_EXPECTED, TRACKING_TRUST</x:v>
      </x:c>
      <x:c r="G21" s="44" t="str">
        <x:v>Feedback behavior broadly matched expectations.; Participant trusted gaze tracking, usually because of the cursor/dot.</x:v>
      </x:c>
      <x:c r="H21" s="44" t="str">
        <x:v>Moderate-high; English ASR with some repeated/unclear words.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the gaze tracking, though explanation was brief.</x:v>
      </x:c>
      <x:c r="D22" s="44" t="str">
        <x:v>Yes, I think so.</x:v>
      </x:c>
      <x:c r="E22" s="44" t="str">
        <x:v>00:02:32–00:02:41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Moderate-high; English ASR with some repeated/unclear words.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Every time the protagonist turns around, I feel a spike of anxiety, which just pulls me deeper into the game</x:v>
      </x:c>
      <x:c r="D26" s="43" t="str"/>
      <x:c r="E26" s="43" t="str">
        <x:v>Not coded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"Eye tracking makes the game feel a lot easier.</x:v>
      </x:c>
      <x:c r="D27" s="44" t="str"/>
      <x:c r="E27" s="44" t="str">
        <x:v>Not coded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yes</x:v>
      </x:c>
      <x:c r="D28" s="44" t="str"/>
      <x:c r="E28" s="44" t="str">
        <x:v>Not coded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1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3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4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1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2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5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5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5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4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3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3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2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P14 — Claire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SRT | Quality: High; coherent English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Claire</x:v>
      </x:c>
      <x:c r="H5" s="43"/>
    </x:row>
    <x:row r="6">
      <x:c r="A6" s="43" t="str">
        <x:v>Competence</x:v>
      </x:c>
      <x:c r="B6" s="45" t="n">
        <x:f>'GEQ_33'!C30</x:f>
        <x:v>3.4000000000000004</x:v>
      </x:c>
      <x:c r="C6" s="43" t="str">
        <x:v>I felt the system correctly detected where I was looking.</x:v>
      </x:c>
      <x:c r="D6" s="47" t="n">
        <x:f>'Custom_Raw'!B18</x:f>
        <x:v>3</x:v>
      </x:c>
      <x:c r="F6" s="44" t="str">
        <x:v>Age (source AS)</x:v>
      </x:c>
      <x:c r="G6" s="44" t="n">
        <x:v>26</x:v>
      </x:c>
      <x:c r="H6" s="44"/>
    </x:row>
    <x:row r="7">
      <x:c r="A7" s="44" t="str">
        <x:v>Sensory &amp; imaginative immersion</x:v>
      </x:c>
      <x:c r="B7" s="46" t="n">
        <x:f>'GEQ_33'!D30</x:f>
        <x:v>3.333333333333333</x:v>
      </x:c>
      <x:c r="C7" s="44" t="str">
        <x:v>My eye movements felt like a natural part of the gameplay.</x:v>
      </x:c>
      <x:c r="D7" s="48" t="n">
        <x:f>'Custom_Raw'!C18</x:f>
        <x:v>4</x:v>
      </x:c>
      <x:c r="F7" s="44" t="str">
        <x:v>Raw B103 / B104</x:v>
      </x:c>
      <x:c r="G7" s="44" t="str">
        <x:v>4 / 5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'GEQ_33'!E30</x:f>
        <x:v>2.2</x:v>
      </x:c>
      <x:c r="C8" s="44" t="str">
        <x:v>I understood that looking at certain areas could affect the suspicion level.</x:v>
      </x:c>
      <x:c r="D8" s="48" t="n">
        <x:f>'Custom_Raw'!D18</x:f>
        <x:v>4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'GEQ_33'!F30</x:f>
        <x:v>0.6666666666666667</x:v>
      </x:c>
      <x:c r="C9" s="44" t="str">
        <x:v>I understood why the suspicion level increased or decreased during the game.</x:v>
      </x:c>
      <x:c r="D9" s="48" t="n">
        <x:f>'Custom_Raw'!E18</x:f>
        <x:v>5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'GEQ_33'!G30</x:f>
        <x:v>1.6</x:v>
      </x:c>
      <x:c r="C10" s="44" t="str">
        <x:v>The suspicion meter responded to my gaze in a way that matched my expectations.</x:v>
      </x:c>
      <x:c r="D10" s="48" t="n">
        <x:f>'Custom_Raw'!F18</x:f>
        <x:v>5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'GEQ_33'!H30</x:f>
        <x:v>0</x:v>
      </x:c>
      <x:c r="C11" s="44" t="str">
        <x:v>I felt challenged by having to gather information while controlling my gaze.</x:v>
      </x:c>
      <x:c r="D11" s="48" t="n">
        <x:f>'Custom_Raw'!G18</x:f>
        <x:v>5</x:v>
      </x:c>
      <x:c r="F11" s="95"/>
      <x:c r="G11" s="96"/>
      <x:c r="H11" s="97"/>
    </x:row>
    <x:row r="12">
      <x:c r="A12" s="44" t="str">
        <x:v>Positive affect</x:v>
      </x:c>
      <x:c r="B12" s="46" t="n">
        <x:f>'GEQ_33'!I30</x:f>
        <x:v>3.2</x:v>
      </x:c>
      <x:c r="C12" s="44" t="str">
        <x:v>The gaze-based suspicion mechanic made the interrogation feel more tense.</x:v>
      </x:c>
      <x:c r="D12" s="48" t="n">
        <x:f>'Custom_Raw'!H18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'Custom_Raw'!I18</x:f>
        <x:v>2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Understood both information collection and keeping suspicion low.</x:v>
      </x:c>
      <x:c r="D17" s="43" t="str">
        <x:v>collecting the information…try to lower down the suspicion level</x:v>
      </x:c>
      <x:c r="E17" s="43" t="str">
        <x:v>00:00:10–00:00:43</x:v>
      </x:c>
      <x:c r="F17" s="43" t="str">
        <x:v>GOAL_INFO, MODEL_UNDERSTOOD</x:v>
      </x:c>
      <x:c r="G17" s="43" t="str">
        <x:v>Participant understood information gathering / memory as a core goal.; Participant articulated the intended gaze-to-suspicion rule.</x:v>
      </x:c>
      <x:c r="H17" s="43" t="str">
        <x:v>High; coherent English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Story and important NPC information drove engagement.</x:v>
      </x:c>
      <x:c r="D18" s="44" t="str">
        <x:v>when the NPC gives us the information… I feel really engaged</x:v>
      </x:c>
      <x:c r="E18" s="44" t="str">
        <x:v>00:00:57–00:01:11</x:v>
      </x:c>
      <x:c r="F18" s="44" t="str">
        <x:v>IMMERSION_NARRATIVE</x:v>
      </x:c>
      <x:c r="G18" s="44" t="str">
        <x:v>Story, environment or sustained attention supported immersion.</x:v>
      </x:c>
      <x:c r="H18" s="44" t="str">
        <x:v>High; coherent English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Red feedback and uncertainty about the safe search window created nervousness and challenge.</x:v>
      </x:c>
      <x:c r="D19" s="44" t="str">
        <x:v>I don't really know how much time I actually have</x:v>
      </x:c>
      <x:c r="E19" s="44" t="str">
        <x:v>00:01:37–00:01:51</x:v>
      </x:c>
      <x:c r="F19" s="44" t="str">
        <x:v>DUAL_TASK_LOAD, NPC_TURN_TENSION</x:v>
      </x:c>
      <x:c r="G19" s="44" t="str">
        <x:v>Visual search, gaze control and audio/story competed for attention.; NPC gaze, sudden turns or uncertain safe windows created tension.</x:v>
      </x:c>
      <x:c r="H19" s="44" t="str">
        <x:v>High; coherent English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Interpreted gaze effects through normal conversational eye-contact expectations.</x:v>
      </x:c>
      <x:c r="D20" s="44" t="str">
        <x:v>it's just like the normal talking</x:v>
      </x:c>
      <x:c r="E20" s="44" t="str">
        <x:v>00:02:14–00:02:24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High; coherent English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Said the meter met expectations but also that she barely noticed it, indicating weak feedback salience.</x:v>
      </x:c>
      <x:c r="D21" s="44" t="str">
        <x:v>Yes. I didn't really notice it.</x:v>
      </x:c>
      <x:c r="E21" s="44" t="str">
        <x:v>00:02:56–00:03:06</x:v>
      </x:c>
      <x:c r="F21" s="44" t="str">
        <x:v>FEEDBACK_UNNOTICED, FEEDBACK_EXPECTED</x:v>
      </x:c>
      <x:c r="G21" s="44" t="str">
        <x:v>Suspicion meter/vignette was not seen or did not trigger.; Feedback behavior broadly matched expectations.</x:v>
      </x:c>
      <x:c r="H21" s="44" t="str">
        <x:v>High; coherent English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red/green points appeared where she looked.</x:v>
      </x:c>
      <x:c r="D22" s="44" t="str">
        <x:v>I exactly saw the red point or like the green point appear on the screen</x:v>
      </x:c>
      <x:c r="E22" s="44" t="str">
        <x:v>00:03:52–00:04:02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coherent English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"I wasn't fully immersed at first, but about a minute into the game, I started to get into the zone</x:v>
      </x:c>
      <x:c r="D26" s="43" t="str"/>
      <x:c r="E26" s="43" t="str">
        <x:v>Not coded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not sure</x:v>
      </x:c>
      <x:c r="D27" s="44" t="str"/>
      <x:c r="E27" s="44" t="str">
        <x:v>Not coded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</x:v>
      </x:c>
      <x:c r="D28" s="44" t="str"/>
      <x:c r="E28" s="44" t="str">
        <x:v>Not coded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5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5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5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1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2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4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2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2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5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4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4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3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5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5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5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2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P15 — Martina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TXT | Quality: High;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Martina</x:v>
      </x:c>
      <x:c r="H5" s="43"/>
    </x:row>
    <x:row r="6">
      <x:c r="A6" s="43" t="str">
        <x:v>Competence</x:v>
      </x:c>
      <x:c r="B6" s="45" t="n">
        <x:f>'GEQ_33'!C31</x:f>
        <x:v>2</x:v>
      </x:c>
      <x:c r="C6" s="43" t="str">
        <x:v>I felt the system correctly detected where I was looking.</x:v>
      </x:c>
      <x:c r="D6" s="47" t="n">
        <x:f>'Custom_Raw'!B19</x:f>
        <x:v>4</x:v>
      </x:c>
      <x:c r="F6" s="44" t="str">
        <x:v>Age (source AS)</x:v>
      </x:c>
      <x:c r="G6" s="44" t="str">
        <x:v>Not provided</x:v>
      </x:c>
      <x:c r="H6" s="44"/>
    </x:row>
    <x:row r="7">
      <x:c r="A7" s="44" t="str">
        <x:v>Sensory &amp; imaginative immersion</x:v>
      </x:c>
      <x:c r="B7" s="46" t="n">
        <x:f>'GEQ_33'!D31</x:f>
        <x:v>2.1666666666666665</x:v>
      </x:c>
      <x:c r="C7" s="44" t="str">
        <x:v>My eye movements felt like a natural part of the gameplay.</x:v>
      </x:c>
      <x:c r="D7" s="48" t="n">
        <x:f>'Custom_Raw'!C19</x:f>
        <x:v>4</x:v>
      </x:c>
      <x:c r="F7" s="44" t="str">
        <x:v>Raw B103 / B104</x:v>
      </x:c>
      <x:c r="G7" s="44" t="str">
        <x:v> / 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'GEQ_33'!E31</x:f>
        <x:v>1.2000000000000002</x:v>
      </x:c>
      <x:c r="C8" s="44" t="str">
        <x:v>I understood that looking at certain areas could affect the suspicion level.</x:v>
      </x:c>
      <x:c r="D8" s="48" t="n">
        <x:f>'Custom_Raw'!D19</x:f>
        <x:v>4</x:v>
      </x:c>
      <x:c r="F8" s="44" t="str">
        <x:v>Missing %</x:v>
      </x:c>
      <x:c r="G8" s="44" t="n">
        <x:v>0</x:v>
      </x:c>
      <x:c r="H8" s="44"/>
    </x:row>
    <x:row r="9">
      <x:c r="A9" s="44" t="str">
        <x:v>Tension / annoyance</x:v>
      </x:c>
      <x:c r="B9" s="46" t="n">
        <x:f>'GEQ_33'!F31</x:f>
        <x:v>0</x:v>
      </x:c>
      <x:c r="C9" s="44" t="str">
        <x:v>I understood why the suspicion level increased or decreased during the game.</x:v>
      </x:c>
      <x:c r="D9" s="48" t="n">
        <x:f>'Custom_Raw'!E19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'GEQ_33'!G31</x:f>
        <x:v>0.3999999999999999</x:v>
      </x:c>
      <x:c r="C10" s="44" t="str">
        <x:v>The suspicion meter responded to my gaze in a way that matched my expectations.</x:v>
      </x:c>
      <x:c r="D10" s="48" t="n">
        <x:f>'Custom_Raw'!F19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'GEQ_33'!H31</x:f>
        <x:v>0</x:v>
      </x:c>
      <x:c r="C11" s="44" t="str">
        <x:v>I felt challenged by having to gather information while controlling my gaze.</x:v>
      </x:c>
      <x:c r="D11" s="48" t="n">
        <x:f>'Custom_Raw'!G19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'GEQ_33'!I31</x:f>
        <x:v>2.8</x:v>
      </x:c>
      <x:c r="C12" s="44" t="str">
        <x:v>The gaze-based suspicion mechanic made the interrogation feel more tense.</x:v>
      </x:c>
      <x:c r="D12" s="48" t="n">
        <x:f>'Custom_Raw'!H19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'Custom_Raw'!I19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Goal was to gather as much case information as possible.</x:v>
      </x:c>
      <x:c r="D17" s="43" t="str">
        <x:v>figure out as much as possible about the case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Continuous eye-contact demands distracted from the topic; turn-away moments were confusing and tense.</x:v>
      </x:c>
      <x:c r="D18" s="44" t="str">
        <x:v>This also distracted me from the whole topic</x:v>
      </x:c>
      <x:c r="E18" s="44" t="str">
        <x:v>Q2</x:v>
      </x:c>
      <x:c r="F18" s="44" t="str">
        <x:v>DUAL_TASK_LOAD, STORY_AUDIO_LOSS, GAZE_OVERCONTROL</x:v>
      </x:c>
      <x:c r="G18" s="44" t="str">
        <x:v>Visual search, gaze control and audio/story competed for attention.; Attention to gaze/visual search reduced story or audio processing.; Participant adopted rigid/frozen gaze to avoid suspicion.</x:v>
      </x:c>
      <x:c r="H18" s="44" t="str">
        <x:v>High;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Most challenged when the detective turned sideways and might turn back quickly.</x:v>
      </x:c>
      <x:c r="D19" s="44" t="str">
        <x:v>the moment…where the detective turened to the side</x:v>
      </x:c>
      <x:c r="E19" s="44" t="str">
        <x:v>Q3</x:v>
      </x:c>
      <x:c r="F19" s="44" t="str">
        <x:v>NPC_TURN_TENSION</x:v>
      </x:c>
      <x:c r="G19" s="44" t="str">
        <x:v>NPC gaze, sudden turns or uncertain safe windows created tension.</x:v>
      </x:c>
      <x:c r="H19" s="44" t="str">
        <x:v>High;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Believed turn-away windows provided enough time to inspect and remember objects.</x:v>
      </x:c>
      <x:c r="D20" s="44" t="str">
        <x:v>when he turned his back to me…enough time to look at the objects</x:v>
      </x:c>
      <x:c r="E20" s="44" t="str">
        <x:v>Q4</x:v>
      </x:c>
      <x:c r="F20" s="44" t="str">
        <x:v>MODEL_UNDERSTOOD, IMMERSION_STEALTH_OPPORTUNITY</x:v>
      </x:c>
      <x:c r="G20" s="44" t="str">
        <x:v>Participant articulated the intended gaze-to-suspicion rule.; Covert search or NPC turn-away window supported engagement.</x:v>
      </x:c>
      <x:c r="H20" s="44" t="str">
        <x:v>High;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Meter behaved as expected, with little elaboration.</x:v>
      </x:c>
      <x:c r="D21" s="44" t="str">
        <x:v>Actually yes</x:v>
      </x:c>
      <x:c r="E21" s="44" t="str">
        <x:v>Q5</x:v>
      </x:c>
      <x:c r="F21" s="44" t="str">
        <x:v>FEEDBACK_EXPECTED, LOW_INFORMATION</x:v>
      </x:c>
      <x:c r="G21" s="44" t="str">
        <x:v>Feedback behavior broadly matched expectations.; Response was too brief, contradictory or interviewer-led for confident interpretation.</x:v>
      </x:c>
      <x:c r="H21" s="44" t="str">
        <x:v>High;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Strong trust based on precise cursor placement.</x:v>
      </x:c>
      <x:c r="D22" s="44" t="str">
        <x:v>The dot was exactly where I was looking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Martina
Als der Inspektor sich plötzlich in die andere Richtung gedreht hat, war ich etwas irritiert und wusste nicht, ob er sich im nächsten Moment plitzschnell umdreht und mich verdächtigt.</x:v>
      </x:c>
      <x:c r="D26" s="43" t="str">
        <x:v>NPC_TURN_TENSION, MODEL_AMBIGUITY, IMMERSION_STEALTH_OPPORTUNITY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Man versucht natürlich so unauffällig wie möglich die Hinweise im Raum zu erfassen.</x:v>
      </x:c>
      <x:c r="D27" s="44" t="str">
        <x:v>NPC_TURN_TENSION, MODEL_AMBIGUITY, IMMERSION_STEALTH_OPPORTUNITY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Wie bereits erwähnt war das für mich der Moment, in dem er sich in die andere Richtung gedreht hat.</x:v>
      </x:c>
      <x:c r="D28" s="44" t="str">
        <x:v>NPC_TURN_TENSION, MODEL_AMBIGUITY, IMMERSION_STEALTH_OPPORTUNITY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3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1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2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3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3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3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1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1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1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2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3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3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2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1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1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2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P16 — SebastianH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TXT | Quality: High but concise;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SebastianH</x:v>
      </x:c>
      <x:c r="H5" s="43"/>
    </x:row>
    <x:row r="6">
      <x:c r="A6" s="43" t="str">
        <x:v>Competence</x:v>
      </x:c>
      <x:c r="B6" s="45" t="n">
        <x:f>'GEQ_33'!C32</x:f>
        <x:v>2.6</x:v>
      </x:c>
      <x:c r="C6" s="43" t="str">
        <x:v>I felt the system correctly detected where I was looking.</x:v>
      </x:c>
      <x:c r="D6" s="47" t="n">
        <x:f>'Custom_Raw'!B20</x:f>
        <x:v>4</x:v>
      </x:c>
      <x:c r="F6" s="44" t="str">
        <x:v>Age (source AS)</x:v>
      </x:c>
      <x:c r="G6" s="44" t="n">
        <x:v>31</x:v>
      </x:c>
      <x:c r="H6" s="44"/>
    </x:row>
    <x:row r="7">
      <x:c r="A7" s="44" t="str">
        <x:v>Sensory &amp; imaginative immersion</x:v>
      </x:c>
      <x:c r="B7" s="46" t="n">
        <x:f>'GEQ_33'!D32</x:f>
        <x:v>3</x:v>
      </x:c>
      <x:c r="C7" s="44" t="str">
        <x:v>My eye movements felt like a natural part of the gameplay.</x:v>
      </x:c>
      <x:c r="D7" s="48" t="n">
        <x:f>'Custom_Raw'!C20</x:f>
        <x:v>5</x:v>
      </x:c>
      <x:c r="F7" s="44" t="str">
        <x:v>Raw B103 / B104</x:v>
      </x:c>
      <x:c r="G7" s="44" t="str">
        <x:v>5 / 3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'GEQ_33'!E32</x:f>
        <x:v>2.2</x:v>
      </x:c>
      <x:c r="C8" s="44" t="str">
        <x:v>I understood that looking at certain areas could affect the suspicion level.</x:v>
      </x:c>
      <x:c r="D8" s="48" t="n">
        <x:f>'Custom_Raw'!D20</x:f>
        <x:v>5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'GEQ_33'!F32</x:f>
        <x:v>0.6666666666666667</x:v>
      </x:c>
      <x:c r="C9" s="44" t="str">
        <x:v>I understood why the suspicion level increased or decreased during the game.</x:v>
      </x:c>
      <x:c r="D9" s="48" t="n">
        <x:f>'Custom_Raw'!E20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'GEQ_33'!G32</x:f>
        <x:v>2.6</x:v>
      </x:c>
      <x:c r="C10" s="44" t="str">
        <x:v>The suspicion meter responded to my gaze in a way that matched my expectations.</x:v>
      </x:c>
      <x:c r="D10" s="48" t="n">
        <x:f>'Custom_Raw'!F20</x:f>
        <x:v>4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'GEQ_33'!H32</x:f>
        <x:v>0</x:v>
      </x:c>
      <x:c r="C11" s="44" t="str">
        <x:v>I felt challenged by having to gather information while controlling my gaze.</x:v>
      </x:c>
      <x:c r="D11" s="48" t="n">
        <x:f>'Custom_Raw'!G20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'GEQ_33'!I32</x:f>
        <x:v>3</x:v>
      </x:c>
      <x:c r="C12" s="44" t="str">
        <x:v>The gaze-based suspicion mechanic made the interrogation feel more tense.</x:v>
      </x:c>
      <x:c r="D12" s="48" t="n">
        <x:f>'Custom_Raw'!H20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'Custom_Raw'!I20</x:f>
        <x:v>3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Goal was to gather case information.</x:v>
      </x:c>
      <x:c r="D17" s="43" t="str">
        <x:v>To gather as much information about the case as possible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 but concise;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Most engaged during narrative content about the docks.</x:v>
      </x:c>
      <x:c r="D18" s="44" t="str">
        <x:v>When the detective talked about the docks</x:v>
      </x:c>
      <x:c r="E18" s="44" t="str">
        <x:v>Q2</x:v>
      </x:c>
      <x:c r="F18" s="44" t="str">
        <x:v>IMMERSION_NARRATIVE</x:v>
      </x:c>
      <x:c r="G18" s="44" t="str">
        <x:v>Story, environment or sustained attention supported immersion.</x:v>
      </x:c>
      <x:c r="H18" s="44" t="str">
        <x:v>High but concise;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Gaze dot distracted, while numerous audio hints created challenge.</x:v>
      </x:c>
      <x:c r="D19" s="44" t="str">
        <x:v>The dot distracted me and there were a lot of audio hints</x:v>
      </x:c>
      <x:c r="E19" s="44" t="str">
        <x:v>Q3</x:v>
      </x:c>
      <x:c r="F19" s="44" t="str">
        <x:v>GAZE_DOT_DISTRACTION, DUAL_TASK_LOAD</x:v>
      </x:c>
      <x:c r="G19" s="44" t="str">
        <x:v>Visible gaze cursor or monitoring of gaze distracted from play.; Visual search, gaze control and audio/story competed for attention.</x:v>
      </x:c>
      <x:c r="H19" s="44" t="str">
        <x:v>High but concise;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Understood looking away under observation as causing red feedback.</x:v>
      </x:c>
      <x:c r="D20" s="44" t="str">
        <x:v>If I looked away when the detective looked at me the background turned red</x:v>
      </x:c>
      <x:c r="E20" s="44" t="str">
        <x:v>Q4</x:v>
      </x:c>
      <x:c r="F20" s="44" t="str">
        <x:v>MODEL_UNDERSTOOD</x:v>
      </x:c>
      <x:c r="G20" s="44" t="str">
        <x:v>Participant articulated the intended gaze-to-suspicion rule.</x:v>
      </x:c>
      <x:c r="H20" s="44" t="str">
        <x:v>High but concise;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Meter met expectations.</x:v>
      </x:c>
      <x:c r="D21" s="44" t="str">
        <x:v>Yes</x:v>
      </x:c>
      <x:c r="E21" s="44" t="str">
        <x:v>Q5</x:v>
      </x:c>
      <x:c r="F21" s="44" t="str">
        <x:v>FEEDBACK_EXPECTED, LOW_INFORMATION</x:v>
      </x:c>
      <x:c r="G21" s="44" t="str">
        <x:v>Feedback behavior broadly matched expectations.; Response was too brief, contradictory or interviewer-led for confident interpretation.</x:v>
      </x:c>
      <x:c r="H21" s="44" t="str">
        <x:v>High but concise;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of the dot.</x:v>
      </x:c>
      <x:c r="D22" s="44" t="str">
        <x:v>Yes because of the dot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 but concise;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The dot was sometimes distracting</x:v>
      </x:c>
      <x:c r="D26" s="43" t="str">
        <x:v>GAZE_DOT_DISTRACTION, GAZE_OVERCONTROL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 tried to look at the detective in order to not raise suspission</x:v>
      </x:c>
      <x:c r="D27" s="44" t="str">
        <x:v>GAZE_DOT_DISTRACTION, GAZE_OVERCONTROL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no</x:v>
      </x:c>
      <x:c r="D28" s="44" t="str">
        <x:v>GAZE_DOT_DISTRACTION, GAZE_OVERCONTROL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5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4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3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3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3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2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3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4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3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5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4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3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P17 — Domi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TXT | Quality: High;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Domi</x:v>
      </x:c>
      <x:c r="H5" s="43"/>
    </x:row>
    <x:row r="6">
      <x:c r="A6" s="43" t="str">
        <x:v>Competence</x:v>
      </x:c>
      <x:c r="B6" s="45" t="n">
        <x:f>'GEQ_33'!C33</x:f>
        <x:v>1.6</x:v>
      </x:c>
      <x:c r="C6" s="43" t="str">
        <x:v>I felt the system correctly detected where I was looking.</x:v>
      </x:c>
      <x:c r="D6" s="47" t="n">
        <x:f>'Custom_Raw'!B21</x:f>
        <x:v>5</x:v>
      </x:c>
      <x:c r="F6" s="44" t="str">
        <x:v>Age (source AS)</x:v>
      </x:c>
      <x:c r="G6" s="44" t="n">
        <x:v>33</x:v>
      </x:c>
      <x:c r="H6" s="44"/>
    </x:row>
    <x:row r="7">
      <x:c r="A7" s="44" t="str">
        <x:v>Sensory &amp; imaginative immersion</x:v>
      </x:c>
      <x:c r="B7" s="46" t="n">
        <x:f>'GEQ_33'!D33</x:f>
        <x:v>2</x:v>
      </x:c>
      <x:c r="C7" s="44" t="str">
        <x:v>My eye movements felt like a natural part of the gameplay.</x:v>
      </x:c>
      <x:c r="D7" s="48" t="n">
        <x:f>'Custom_Raw'!C21</x:f>
        <x:v>5</x:v>
      </x:c>
      <x:c r="F7" s="44" t="str">
        <x:v>Raw B103 / B104</x:v>
      </x:c>
      <x:c r="G7" s="44" t="str">
        <x:v>3 / 2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'GEQ_33'!E33</x:f>
        <x:v>3.8</x:v>
      </x:c>
      <x:c r="C8" s="44" t="str">
        <x:v>I understood that looking at certain areas could affect the suspicion level.</x:v>
      </x:c>
      <x:c r="D8" s="48" t="n">
        <x:f>'Custom_Raw'!D21</x:f>
        <x:v>4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'GEQ_33'!F33</x:f>
        <x:v>1</x:v>
      </x:c>
      <x:c r="C9" s="44" t="str">
        <x:v>I understood why the suspicion level increased or decreased during the game.</x:v>
      </x:c>
      <x:c r="D9" s="48" t="n">
        <x:f>'Custom_Raw'!E21</x:f>
        <x:v>2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'GEQ_33'!G33</x:f>
        <x:v>2.6</x:v>
      </x:c>
      <x:c r="C10" s="44" t="str">
        <x:v>The suspicion meter responded to my gaze in a way that matched my expectations.</x:v>
      </x:c>
      <x:c r="D10" s="48" t="n">
        <x:f>'Custom_Raw'!F21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'GEQ_33'!H33</x:f>
        <x:v>0</x:v>
      </x:c>
      <x:c r="C11" s="44" t="str">
        <x:v>I felt challenged by having to gather information while controlling my gaze.</x:v>
      </x:c>
      <x:c r="D11" s="48" t="n">
        <x:f>'Custom_Raw'!G21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'GEQ_33'!I33</x:f>
        <x:v>2.4</x:v>
      </x:c>
      <x:c r="C12" s="44" t="str">
        <x:v>The gaze-based suspicion mechanic made the interrogation feel more tense.</x:v>
      </x:c>
      <x:c r="D12" s="48" t="n">
        <x:f>'Custom_Raw'!H21</x:f>
        <x:v>5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'Custom_Raw'!I21</x:f>
        <x:v>4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Over-prioritized visual clues, sacrificing early dialogue while testing suspicion timing.</x:v>
      </x:c>
      <x:c r="D17" s="43" t="str">
        <x:v>I did not pay too much attention about what the main character was saying</x:v>
      </x:c>
      <x:c r="E17" s="43" t="str">
        <x:v>Q1</x:v>
      </x:c>
      <x:c r="F17" s="43" t="str">
        <x:v>GOAL_INFO, STORY_AUDIO_LOSS, DUAL_TASK_LOAD</x:v>
      </x:c>
      <x:c r="G17" s="43" t="str">
        <x:v>Participant understood information gathering / memory as a core goal.; Attention to gaze/visual search reduced story or audio processing.; Visual search, gaze control and audio/story competed for attention.</x:v>
      </x:c>
      <x:c r="H17" s="43" t="str">
        <x:v>High;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Most immersed during route/password narrative; least immersed when NPC turned away.</x:v>
      </x:c>
      <x:c r="D18" s="44" t="str">
        <x:v>When he told me to remember the routes and the password.</x:v>
      </x:c>
      <x:c r="E18" s="44" t="str">
        <x:v>Q2</x:v>
      </x:c>
      <x:c r="F18" s="44" t="str">
        <x:v>IMMERSION_NARRATIVE</x:v>
      </x:c>
      <x:c r="G18" s="44" t="str">
        <x:v>Story, environment or sustained attention supported immersion.</x:v>
      </x:c>
      <x:c r="H18" s="44" t="str">
        <x:v>High;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Red screen created pressure; explicit focus instruction created challenge.</x:v>
      </x:c>
      <x:c r="D19" s="44" t="str">
        <x:v>I felt preasured when the screen turned red.</x:v>
      </x:c>
      <x:c r="E19" s="44" t="str">
        <x:v>Q3</x:v>
      </x:c>
      <x:c r="F19" s="44" t="str">
        <x:v>NPC_TURN_TENSION</x:v>
      </x:c>
      <x:c r="G19" s="44" t="str">
        <x:v>NPC gaze, sudden turns or uncertain safe windows created tension.</x:v>
      </x:c>
      <x:c r="H19" s="44" t="str">
        <x:v>High;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Perceived gaze-to-suspicion behavior as inconsistent, especially early.</x:v>
      </x:c>
      <x:c r="D20" s="44" t="str">
        <x:v>I felt it was inconsistent</x:v>
      </x:c>
      <x:c r="E20" s="44" t="str">
        <x:v>Q4</x:v>
      </x:c>
      <x:c r="F20" s="44" t="str">
        <x:v>MODEL_AMBIGUITY</x:v>
      </x:c>
      <x:c r="G20" s="44" t="str">
        <x:v>Participant could not explain or perceived inconsistency in system behavior.</x:v>
      </x:c>
      <x:c r="H20" s="44" t="str">
        <x:v>High;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Expected graded color intensity to communicate degree of suspicion.</x:v>
      </x:c>
      <x:c r="D21" s="44" t="str">
        <x:v>dark red for very suspicious, light for a little suspicious</x:v>
      </x:c>
      <x:c r="E21" s="44" t="str">
        <x:v>Q5</x:v>
      </x:c>
      <x:c r="F21" s="44" t="str">
        <x:v>FEEDBACK_GRANULARITY, FEEDBACK_UNNOTICED</x:v>
      </x:c>
      <x:c r="G21" s="44" t="str">
        <x:v>Participant wanted clearer or graded feedback about suspicion state.; Suspicion meter/vignette was not seen or did not trigger.</x:v>
      </x:c>
      <x:c r="H21" s="44" t="str">
        <x:v>High;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red point matched gaze.</x:v>
      </x:c>
      <x:c r="D22" s="44" t="str">
        <x:v>The red point made it feel accurate for me.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>
        <x:v>The interrogation situation highlighted by the red color.</x:v>
      </x:c>
      <x:c r="D26" s="43" t="str">
        <x:v>NPC_TURN_TENSION, FEEDBACK_GRANULARITY, MODEL_AMBIGUITY</x:v>
      </x:c>
      <x:c r="E26" s="43" t="str">
        <x:v>Substantive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I tried to look at the main character after seeing the red color and was wondering how long I need to look at him again to lower his suspision. </x:v>
      </x:c>
      <x:c r="D27" s="44" t="str">
        <x:v>NPC_TURN_TENSION, FEEDBACK_GRANULARITY, MODEL_AMBIGUITY</x:v>
      </x:c>
      <x:c r="E27" s="44" t="str">
        <x:v>Substantive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I was expecting color changes like darker red for more suspision.</x:v>
      </x:c>
      <x:c r="D28" s="44" t="str">
        <x:v>NPC_TURN_TENSION, FEEDBACK_GRANULARITY, MODEL_AMBIGUITY</x:v>
      </x:c>
      <x:c r="E28" s="44" t="str">
        <x:v>Substantive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3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1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5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3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1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1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3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4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5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3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3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1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2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2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2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1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4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4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5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2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5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1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4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5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4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5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5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2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5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4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P18 — Michael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TXT | Quality: High but very concise;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Michael</x:v>
      </x:c>
      <x:c r="H5" s="43"/>
    </x:row>
    <x:row r="6">
      <x:c r="A6" s="43" t="str">
        <x:v>Competence</x:v>
      </x:c>
      <x:c r="B6" s="45" t="n">
        <x:f>'GEQ_33'!C34</x:f>
        <x:v>1</x:v>
      </x:c>
      <x:c r="C6" s="43" t="str">
        <x:v>I felt the system correctly detected where I was looking.</x:v>
      </x:c>
      <x:c r="D6" s="47" t="n">
        <x:f>'Custom_Raw'!B22</x:f>
        <x:v>4</x:v>
      </x:c>
      <x:c r="F6" s="44" t="str">
        <x:v>Age (source AS)</x:v>
      </x:c>
      <x:c r="G6" s="44" t="n">
        <x:v>61</x:v>
      </x:c>
      <x:c r="H6" s="44"/>
    </x:row>
    <x:row r="7">
      <x:c r="A7" s="44" t="str">
        <x:v>Sensory &amp; imaginative immersion</x:v>
      </x:c>
      <x:c r="B7" s="46" t="n">
        <x:f>'GEQ_33'!D34</x:f>
        <x:v>1.8333333333333335</x:v>
      </x:c>
      <x:c r="C7" s="44" t="str">
        <x:v>My eye movements felt like a natural part of the gameplay.</x:v>
      </x:c>
      <x:c r="D7" s="48" t="n">
        <x:f>'Custom_Raw'!C22</x:f>
        <x:v>3</x:v>
      </x:c>
      <x:c r="F7" s="44" t="str">
        <x:v>Raw B103 / B104</x:v>
      </x:c>
      <x:c r="G7" s="44" t="str">
        <x:v>1 / 1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'GEQ_33'!E34</x:f>
        <x:v>1.6</x:v>
      </x:c>
      <x:c r="C8" s="44" t="str">
        <x:v>I understood that looking at certain areas could affect the suspicion level.</x:v>
      </x:c>
      <x:c r="D8" s="48" t="n">
        <x:f>'Custom_Raw'!D22</x:f>
        <x:v>4</x:v>
      </x:c>
      <x:c r="F8" s="44" t="str">
        <x:v>Missing %</x:v>
      </x:c>
      <x:c r="G8" s="44" t="n">
        <x:v>4</x:v>
      </x:c>
      <x:c r="H8" s="44"/>
    </x:row>
    <x:row r="9">
      <x:c r="A9" s="44" t="str">
        <x:v>Tension / annoyance</x:v>
      </x:c>
      <x:c r="B9" s="46" t="n">
        <x:f>'GEQ_33'!F34</x:f>
        <x:v>1.6666666666666665</x:v>
      </x:c>
      <x:c r="C9" s="44" t="str">
        <x:v>I understood why the suspicion level increased or decreased during the game.</x:v>
      </x:c>
      <x:c r="D9" s="48" t="n">
        <x:f>'Custom_Raw'!E22</x:f>
        <x:v>4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'GEQ_33'!G34</x:f>
        <x:v>1.6</x:v>
      </x:c>
      <x:c r="C10" s="44" t="str">
        <x:v>The suspicion meter responded to my gaze in a way that matched my expectations.</x:v>
      </x:c>
      <x:c r="D10" s="48" t="n">
        <x:f>'Custom_Raw'!F22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'GEQ_33'!H34</x:f>
        <x:v>2.25</x:v>
      </x:c>
      <x:c r="C11" s="44" t="str">
        <x:v>I felt challenged by having to gather information while controlling my gaze.</x:v>
      </x:c>
      <x:c r="D11" s="48" t="n">
        <x:f>'Custom_Raw'!G22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'GEQ_33'!I34</x:f>
        <x:v>1.2000000000000002</x:v>
      </x:c>
      <x:c r="C12" s="44" t="str">
        <x:v>The gaze-based suspicion mechanic made the interrogation feel more tense.</x:v>
      </x:c>
      <x:c r="D12" s="48" t="n">
        <x:f>'Custom_Raw'!H22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'Custom_Raw'!I22</x:f>
        <x:v>2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Goal was to integrate information from the meeting.</x:v>
      </x:c>
      <x:c r="D17" s="43" t="str">
        <x:v>put together all information out of the discussion/meeting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 but very concise;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Reported no immersive moment.</x:v>
      </x:c>
      <x:c r="D18" s="44" t="str">
        <x:v>None</x:v>
      </x:c>
      <x:c r="E18" s="44" t="str">
        <x:v>Q2</x:v>
      </x:c>
      <x:c r="F18" s="44" t="str">
        <x:v>IMMERSION_BARRIER, LOW_INFORMATION</x:v>
      </x:c>
      <x:c r="G18" s="44" t="str">
        <x:v>Interface, modeling, calibration or mechanics disrupted immersion.; Response was too brief, contradictory or interviewer-led for confident interpretation.</x:v>
      </x:c>
      <x:c r="H18" s="44" t="str">
        <x:v>High but very concise;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Phone call distracted him.</x:v>
      </x:c>
      <x:c r="D19" s="44" t="str">
        <x:v>During the phone call of the detective I got distracted</x:v>
      </x:c>
      <x:c r="E19" s="44" t="str">
        <x:v>Q3</x:v>
      </x:c>
      <x:c r="F19" s="44" t="str">
        <x:v>STORY_AUDIO_LOSS, IMMERSION_BARRIER</x:v>
      </x:c>
      <x:c r="G19" s="44" t="str">
        <x:v>Attention to gaze/visual search reduced story or audio processing.; Interface, modeling, calibration or mechanics disrupted immersion.</x:v>
      </x:c>
      <x:c r="H19" s="44" t="str">
        <x:v>High but very concise;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Did not notice gaze effects on suspicion.</x:v>
      </x:c>
      <x:c r="D20" s="44" t="str">
        <x:v>I didn't notice anything</x:v>
      </x:c>
      <x:c r="E20" s="44" t="str">
        <x:v>Q4</x:v>
      </x:c>
      <x:c r="F20" s="44" t="str">
        <x:v>MODEL_AMBIGUITY, FEEDBACK_UNNOTICED</x:v>
      </x:c>
      <x:c r="G20" s="44" t="str">
        <x:v>Participant could not explain or perceived inconsistency in system behavior.; Suspicion meter/vignette was not seen or did not trigger.</x:v>
      </x:c>
      <x:c r="H20" s="44" t="str">
        <x:v>High but very concise;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Did not notice meter behavior.</x:v>
      </x:c>
      <x:c r="D21" s="44" t="str">
        <x:v>I didn't notice anything</x:v>
      </x:c>
      <x:c r="E21" s="44" t="str">
        <x:v>Q5</x:v>
      </x:c>
      <x:c r="F21" s="44" t="str">
        <x:v>FEEDBACK_UNNOTICED</x:v>
      </x:c>
      <x:c r="G21" s="44" t="str">
        <x:v>Suspicion meter/vignette was not seen or did not trigger.</x:v>
      </x:c>
      <x:c r="H21" s="44" t="str">
        <x:v>High but very concise;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Nevertheless trusted tracking because the dot represented gaze position.</x:v>
      </x:c>
      <x:c r="D22" s="44" t="str">
        <x:v>The dot made it feel accurate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 but very concise;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/>
      <x:c r="D26" s="43" t="str">
        <x:v>STORY_AUDIO_LOSS, MODEL_UNDERSTOOD</x:v>
      </x:c>
      <x:c r="E26" s="43" t="str">
        <x:v>Partial; Q1 missing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You are more concentated in your eye movement and do not follow the story.</x:v>
      </x:c>
      <x:c r="D27" s="44" t="str">
        <x:v>STORY_AUDIO_LOSS, MODEL_UNDERSTOOD</x:v>
      </x:c>
      <x:c r="E27" s="44" t="str">
        <x:v>Partial; Q1 missing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There was nothing which confusing me. </x:v>
      </x:c>
      <x:c r="D28" s="44" t="str">
        <x:v>STORY_AUDIO_LOSS, MODEL_UNDERSTOOD</x:v>
      </x:c>
      <x:c r="E28" s="44" t="str">
        <x:v>Partial; Q1 missing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2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2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3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3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2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1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3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3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3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1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2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3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3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2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4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3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3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1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2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2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3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3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3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3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3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2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2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3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4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2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22" hidden="0" customWidth="1"/>
    <x:col min="7" max="7" width="34" hidden="0" customWidth="1"/>
    <x:col min="8" max="8" width="24" hidden="0" customWidth="1"/>
  </x:cols>
  <x:sheetData>
    <x:row r="1" ht="30" customHeight="1">
      <x:c r="A1" s="3" t="str">
        <x:v>P19 — MarkusK — participant analysis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Interview source type: TXT | Quality: High but concise; structured written interview.</x:v>
      </x:c>
      <x:c r="B2" s="7"/>
      <x:c r="C2" s="7"/>
      <x:c r="D2" s="7"/>
      <x:c r="E2" s="7"/>
      <x:c r="F2" s="7"/>
      <x:c r="G2" s="7"/>
      <x:c r="H2" s="7"/>
    </x:row>
    <x:row r="4" ht="22" customHeight="1">
      <x:c r="A4" s="24" t="str">
        <x:v>Individual scores: GEQ 7 dimensions (0–4) + Custom 8 items (1–5)</x:v>
      </x:c>
      <x:c r="B4" s="25"/>
      <x:c r="C4" s="25"/>
      <x:c r="D4" s="25"/>
      <x:c r="E4" s="25"/>
      <x:c r="F4" s="25"/>
      <x:c r="G4" s="25"/>
      <x:c r="H4" s="26"/>
    </x:row>
    <x:row r="5">
      <x:c r="A5" s="35" t="str">
        <x:v>GEQ component</x:v>
      </x:c>
      <x:c r="B5" s="36" t="str">
        <x:v>Score 0–4</x:v>
      </x:c>
      <x:c r="C5" s="36" t="str">
        <x:v>Custom item</x:v>
      </x:c>
      <x:c r="D5" s="37" t="str">
        <x:v>Score 1–5</x:v>
      </x:c>
      <x:c r="F5" s="43" t="str">
        <x:v>Participant name</x:v>
      </x:c>
      <x:c r="G5" s="43" t="str">
        <x:v>MarkusK</x:v>
      </x:c>
      <x:c r="H5" s="43"/>
    </x:row>
    <x:row r="6">
      <x:c r="A6" s="43" t="str">
        <x:v>Competence</x:v>
      </x:c>
      <x:c r="B6" s="45" t="n">
        <x:f>'GEQ_33'!C35</x:f>
        <x:v>3</x:v>
      </x:c>
      <x:c r="C6" s="43" t="str">
        <x:v>I felt the system correctly detected where I was looking.</x:v>
      </x:c>
      <x:c r="D6" s="47" t="n">
        <x:f>'Custom_Raw'!B23</x:f>
        <x:v>4</x:v>
      </x:c>
      <x:c r="F6" s="44" t="str">
        <x:v>Age (source AS)</x:v>
      </x:c>
      <x:c r="G6" s="44" t="n">
        <x:v>32</x:v>
      </x:c>
      <x:c r="H6" s="44"/>
    </x:row>
    <x:row r="7">
      <x:c r="A7" s="44" t="str">
        <x:v>Sensory &amp; imaginative immersion</x:v>
      </x:c>
      <x:c r="B7" s="46" t="n">
        <x:f>'GEQ_33'!D35</x:f>
        <x:v>2.8333333333333335</x:v>
      </x:c>
      <x:c r="C7" s="44" t="str">
        <x:v>My eye movements felt like a natural part of the gameplay.</x:v>
      </x:c>
      <x:c r="D7" s="48" t="n">
        <x:f>'Custom_Raw'!C23</x:f>
        <x:v>4</x:v>
      </x:c>
      <x:c r="F7" s="44" t="str">
        <x:v>Raw B103 / B104</x:v>
      </x:c>
      <x:c r="G7" s="44" t="str">
        <x:v>3 / 3</x:v>
      </x:c>
      <x:c r="H7" s="44" t="str">
        <x:v>Code labels not available in supplied MD</x:v>
      </x:c>
    </x:row>
    <x:row r="8">
      <x:c r="A8" s="44" t="str">
        <x:v>Flow</x:v>
      </x:c>
      <x:c r="B8" s="46" t="n">
        <x:f>'GEQ_33'!E35</x:f>
        <x:v>2.6</x:v>
      </x:c>
      <x:c r="C8" s="44" t="str">
        <x:v>I understood that looking at certain areas could affect the suspicion level.</x:v>
      </x:c>
      <x:c r="D8" s="48" t="n">
        <x:f>'Custom_Raw'!D23</x:f>
        <x:v>4</x:v>
      </x:c>
      <x:c r="F8" s="44" t="str">
        <x:v>Missing %</x:v>
      </x:c>
      <x:c r="G8" s="44" t="n">
        <x:v>2</x:v>
      </x:c>
      <x:c r="H8" s="44"/>
    </x:row>
    <x:row r="9">
      <x:c r="A9" s="44" t="str">
        <x:v>Tension / annoyance</x:v>
      </x:c>
      <x:c r="B9" s="46" t="n">
        <x:f>'GEQ_33'!F35</x:f>
        <x:v>1</x:v>
      </x:c>
      <x:c r="C9" s="44" t="str">
        <x:v>I understood why the suspicion level increased or decreased during the game.</x:v>
      </x:c>
      <x:c r="D9" s="48" t="n">
        <x:f>'Custom_Raw'!E23</x:f>
        <x:v>3</x:v>
      </x:c>
      <x:c r="F9" s="44" t="str">
        <x:v>Latest source coverage</x:v>
      </x:c>
      <x:c r="G9" s="44" t="str">
        <x:v>33 GEQ + 8 Custom responses verified</x:v>
      </x:c>
      <x:c r="H9" s="44"/>
    </x:row>
    <x:row r="10">
      <x:c r="A10" s="44" t="str">
        <x:v>Challenge</x:v>
      </x:c>
      <x:c r="B10" s="46" t="n">
        <x:f>'GEQ_33'!G35</x:f>
        <x:v>2.2</x:v>
      </x:c>
      <x:c r="C10" s="44" t="str">
        <x:v>The suspicion meter responded to my gaze in a way that matched my expectations.</x:v>
      </x:c>
      <x:c r="D10" s="48" t="n">
        <x:f>'Custom_Raw'!F23</x:f>
        <x:v>3</x:v>
      </x:c>
      <x:c r="F10" s="92" t="str">
        <x:v>GEQ scores in A6:B12 are formula-linked to the participant component table on GEQ_33. Each value is the official mean of that dimension’s items after 1–5 → 0–4 conversion.</x:v>
      </x:c>
      <x:c r="G10" s="93"/>
      <x:c r="H10" s="94"/>
    </x:row>
    <x:row r="11">
      <x:c r="A11" s="44" t="str">
        <x:v>Negative affect</x:v>
      </x:c>
      <x:c r="B11" s="46" t="n">
        <x:f>'GEQ_33'!H35</x:f>
        <x:v>0.75</x:v>
      </x:c>
      <x:c r="C11" s="44" t="str">
        <x:v>I felt challenged by having to gather information while controlling my gaze.</x:v>
      </x:c>
      <x:c r="D11" s="48" t="n">
        <x:f>'Custom_Raw'!G23</x:f>
        <x:v>4</x:v>
      </x:c>
      <x:c r="F11" s="95"/>
      <x:c r="G11" s="96"/>
      <x:c r="H11" s="97"/>
    </x:row>
    <x:row r="12">
      <x:c r="A12" s="44" t="str">
        <x:v>Positive affect</x:v>
      </x:c>
      <x:c r="B12" s="46" t="n">
        <x:f>'GEQ_33'!I35</x:f>
        <x:v>3</x:v>
      </x:c>
      <x:c r="C12" s="44" t="str">
        <x:v>The gaze-based suspicion mechanic made the interrogation feel more tense.</x:v>
      </x:c>
      <x:c r="D12" s="48" t="n">
        <x:f>'Custom_Raw'!H23</x:f>
        <x:v>4</x:v>
      </x:c>
    </x:row>
    <x:row r="13">
      <x:c r="A13" s="44" t="str"/>
      <x:c r="B13" s="46"/>
      <x:c r="C13" s="44" t="str">
        <x:v>The gaze-based mechanic distracted me from following the story.</x:v>
      </x:c>
      <x:c r="D13" s="48" t="n">
        <x:f>'Custom_Raw'!I23</x:f>
        <x:v>5</x:v>
      </x:c>
    </x:row>
    <x:row r="15" ht="22" customHeight="1">
      <x:c r="A15" s="24" t="str">
        <x:v>Interview question-by-question analysis</x:v>
      </x:c>
      <x:c r="B15" s="25"/>
      <x:c r="C15" s="25"/>
      <x:c r="D15" s="25"/>
      <x:c r="E15" s="25"/>
      <x:c r="F15" s="25"/>
      <x:c r="G15" s="25"/>
      <x:c r="H15" s="26"/>
    </x:row>
    <x:row r="16">
      <x:c r="A16" s="35" t="str">
        <x:v>Q</x:v>
      </x:c>
      <x:c r="B16" s="36" t="str">
        <x:v>Interview focus</x:v>
      </x:c>
      <x:c r="C16" s="36" t="str">
        <x:v>Synthesized response</x:v>
      </x:c>
      <x:c r="D16" s="36" t="str">
        <x:v>Representative evidence</x:v>
      </x:c>
      <x:c r="E16" s="36" t="str">
        <x:v>Location</x:v>
      </x:c>
      <x:c r="F16" s="36" t="str">
        <x:v>Codes</x:v>
      </x:c>
      <x:c r="G16" s="36" t="str">
        <x:v>Interpretation</x:v>
      </x:c>
      <x:c r="H16" s="37" t="str">
        <x:v>Quality note</x:v>
      </x:c>
    </x:row>
    <x:row r="17" ht="84" customHeight="1">
      <x:c r="A17" s="43" t="n">
        <x:v>1</x:v>
      </x:c>
      <x:c r="B17" s="43" t="str">
        <x:v>Can you briefly describe what you thought your goal was during the interrogation?</x:v>
      </x:c>
      <x:c r="C17" s="43" t="str">
        <x:v>Goal was to remember as much as possible.</x:v>
      </x:c>
      <x:c r="D17" s="43" t="str">
        <x:v>To remember as much as possible.</x:v>
      </x:c>
      <x:c r="E17" s="43" t="str">
        <x:v>Q1</x:v>
      </x:c>
      <x:c r="F17" s="43" t="str">
        <x:v>GOAL_INFO</x:v>
      </x:c>
      <x:c r="G17" s="43" t="str">
        <x:v>Participant understood information gathering / memory as a core goal.</x:v>
      </x:c>
      <x:c r="H17" s="43" t="str">
        <x:v>High but concise; structured written interview.</x:v>
      </x:c>
    </x:row>
    <x:row r="18" ht="84" customHeight="1">
      <x:c r="A18" s="44" t="n">
        <x:v>2</x:v>
      </x:c>
      <x:c r="B18" s="44" t="str">
        <x:v>At what moments did you feel most engaged or immersed in the scene?</x:v>
      </x:c>
      <x:c r="C18" s="44" t="str">
        <x:v>Reported broad engagement but no specific peak moment.</x:v>
      </x:c>
      <x:c r="D18" s="44" t="str">
        <x:v>there isn't any special scene I have in mind</x:v>
      </x:c>
      <x:c r="E18" s="44" t="str">
        <x:v>Q2</x:v>
      </x:c>
      <x:c r="F18" s="44" t="str">
        <x:v>IMMERSION_NARRATIVE, LOW_INFORMATION</x:v>
      </x:c>
      <x:c r="G18" s="44" t="str">
        <x:v>Story, environment or sustained attention supported immersion.; Response was too brief, contradictory or interviewer-led for confident interpretation.</x:v>
      </x:c>
      <x:c r="H18" s="44" t="str">
        <x:v>High but concise; structured written interview.</x:v>
      </x:c>
    </x:row>
    <x:row r="19" ht="84" customHeight="1">
      <x:c r="A19" s="44" t="n">
        <x:v>3</x:v>
      </x:c>
      <x:c r="B19" s="44" t="str">
        <x:v>At what moments did you feel challenged, pressured, or distracted?</x:v>
      </x:c>
      <x:c r="C19" s="44" t="str">
        <x:v>End questions were challenging; gaze dot and ambiguous phone sound reduced immersion.</x:v>
      </x:c>
      <x:c r="D19" s="44" t="str">
        <x:v>The dot distracted me and I thought the ringing of the phone was a dore bell</x:v>
      </x:c>
      <x:c r="E19" s="44" t="str">
        <x:v>Q3</x:v>
      </x:c>
      <x:c r="F19" s="44" t="str">
        <x:v>GAZE_DOT_DISTRACTION, IMMERSION_BARRIER</x:v>
      </x:c>
      <x:c r="G19" s="44" t="str">
        <x:v>Visible gaze cursor or monitoring of gaze distracted from play.; Interface, modeling, calibration or mechanics disrupted immersion.</x:v>
      </x:c>
      <x:c r="H19" s="44" t="str">
        <x:v>High but concise; structured written interview.</x:v>
      </x:c>
    </x:row>
    <x:row r="20" ht="84" customHeight="1">
      <x:c r="A20" s="44" t="n">
        <x:v>4</x:v>
      </x:c>
      <x:c r="B20" s="44" t="str">
        <x:v>How did you think your gaze or eye movements affected the suspicion level?</x:v>
      </x:c>
      <x:c r="C20" s="44" t="str">
        <x:v>Did not notice gaze changing suspicion.</x:v>
      </x:c>
      <x:c r="D20" s="44" t="str">
        <x:v>Didn't noticed any moment.</x:v>
      </x:c>
      <x:c r="E20" s="44" t="str">
        <x:v>Q4</x:v>
      </x:c>
      <x:c r="F20" s="44" t="str">
        <x:v>MODEL_AMBIGUITY, FEEDBACK_UNNOTICED</x:v>
      </x:c>
      <x:c r="G20" s="44" t="str">
        <x:v>Participant could not explain or perceived inconsistency in system behavior.; Suspicion meter/vignette was not seen or did not trigger.</x:v>
      </x:c>
      <x:c r="H20" s="44" t="str">
        <x:v>High but concise; structured written interview.</x:v>
      </x:c>
    </x:row>
    <x:row r="21" ht="84" customHeight="1">
      <x:c r="A21" s="44" t="n">
        <x:v>5</x:v>
      </x:c>
      <x:c r="B21" s="44" t="str">
        <x:v>Did the suspicion meter behave in the way you expected? Why or why not?</x:v>
      </x:c>
      <x:c r="C21" s="44" t="str">
        <x:v>Could not judge because no feedback was triggered.</x:v>
      </x:c>
      <x:c r="D21" s="44" t="str">
        <x:v>I don't know because it didn't trigger anything.</x:v>
      </x:c>
      <x:c r="E21" s="44" t="str">
        <x:v>Q5</x:v>
      </x:c>
      <x:c r="F21" s="44" t="str">
        <x:v>FEEDBACK_UNNOTICED</x:v>
      </x:c>
      <x:c r="G21" s="44" t="str">
        <x:v>Suspicion meter/vignette was not seen or did not trigger.</x:v>
      </x:c>
      <x:c r="H21" s="44" t="str">
        <x:v>High but concise; structured written interview.</x:v>
      </x:c>
    </x:row>
    <x:row r="22" ht="84" customHeight="1">
      <x:c r="A22" s="44" t="n">
        <x:v>6</x:v>
      </x:c>
      <x:c r="B22" s="44" t="str">
        <x:v>Did you trust that the system knew where you were looking? What made it feel accurate or inaccurate?</x:v>
      </x:c>
      <x:c r="C22" s="44" t="str">
        <x:v>Trusted tracking because the dot closely matched gaze.</x:v>
      </x:c>
      <x:c r="D22" s="44" t="str">
        <x:v>The dot was pretty accurat to where I was looking.</x:v>
      </x:c>
      <x:c r="E22" s="44" t="str">
        <x:v>Q6</x:v>
      </x:c>
      <x:c r="F22" s="44" t="str">
        <x:v>TRACKING_TRUST</x:v>
      </x:c>
      <x:c r="G22" s="44" t="str">
        <x:v>Participant trusted gaze tracking, usually because of the cursor/dot.</x:v>
      </x:c>
      <x:c r="H22" s="44" t="str">
        <x:v>High but concise; structured written interview.</x:v>
      </x:c>
    </x:row>
    <x:row r="24" ht="22" customHeight="1">
      <x:c r="A24" s="24" t="str">
        <x:v>Open-ended questionnaire context</x:v>
      </x:c>
      <x:c r="B24" s="25"/>
      <x:c r="C24" s="25"/>
      <x:c r="D24" s="25"/>
      <x:c r="E24" s="25"/>
      <x:c r="F24" s="25"/>
      <x:c r="G24" s="25"/>
      <x:c r="H24" s="26"/>
    </x:row>
    <x:row r="25">
      <x:c r="A25" s="35" t="str">
        <x:v>Open Q</x:v>
      </x:c>
      <x:c r="B25" s="36" t="str">
        <x:v>Question</x:v>
      </x:c>
      <x:c r="C25" s="36" t="str">
        <x:v>Response</x:v>
      </x:c>
      <x:c r="D25" s="36" t="str">
        <x:v>Codes</x:v>
      </x:c>
      <x:c r="E25" s="36" t="str">
        <x:v>Quality</x:v>
      </x:c>
      <x:c r="F25" s="36"/>
      <x:c r="G25" s="36"/>
      <x:c r="H25" s="37"/>
    </x:row>
    <x:row r="26" ht="70" customHeight="1">
      <x:c r="A26" s="43" t="n">
        <x:v>1</x:v>
      </x:c>
      <x:c r="B26" s="43" t="str">
        <x:v>What moments made you feel most immersed or least immersed in the game?</x:v>
      </x:c>
      <x:c r="C26" s="43" t="str"/>
      <x:c r="D26" s="43" t="str">
        <x:v>GAZE_OVERCONTROL, FEEDBACK_UNNOTICED</x:v>
      </x:c>
      <x:c r="E26" s="43" t="str">
        <x:v>Partial; Q1 missing</x:v>
      </x:c>
      <x:c r="F26" s="43"/>
      <x:c r="G26" s="43"/>
      <x:c r="H26" s="43"/>
    </x:row>
    <x:row r="27" ht="70" customHeight="1">
      <x:c r="A27" s="44" t="n">
        <x:v>2</x:v>
      </x:c>
      <x:c r="B27" s="44" t="str">
        <x:v>How did the gaze-based suspicion system affect the way you played?</x:v>
      </x:c>
      <x:c r="C27" s="44" t="str">
        <x:v>habe mich zu sehr auf meinen Blick konzentriert</x:v>
      </x:c>
      <x:c r="D27" s="44" t="str">
        <x:v>GAZE_OVERCONTROL, FEEDBACK_UNNOTICED</x:v>
      </x:c>
      <x:c r="E27" s="44" t="str">
        <x:v>Partial; Q1 missing</x:v>
      </x:c>
      <x:c r="F27" s="44"/>
      <x:c r="G27" s="44"/>
      <x:c r="H27" s="44"/>
    </x:row>
    <x:row r="28" ht="70" customHeight="1">
      <x:c r="A28" s="44" t="n">
        <x:v>3</x:v>
      </x:c>
      <x:c r="B28" s="44" t="str">
        <x:v>Was there anything confusing or unexpected about how the suspicion level changed?</x:v>
      </x:c>
      <x:c r="C28" s="44" t="str">
        <x:v>hat sich nicht geändert, weil ich die ganze zeit den Typen angeschaut habe</x:v>
      </x:c>
      <x:c r="D28" s="44" t="str">
        <x:v>GAZE_OVERCONTROL, FEEDBACK_UNNOTICED</x:v>
      </x:c>
      <x:c r="E28" s="44" t="str">
        <x:v>Partial; Q1 missing</x:v>
      </x:c>
      <x:c r="F28" s="44"/>
      <x:c r="G28" s="44"/>
      <x:c r="H28" s="44"/>
    </x:row>
    <x:row r="30" ht="22" customHeight="1">
      <x:c r="A30" s="24" t="str">
        <x:v>Raw questionnaire data — latest source, unaltered inputs</x:v>
      </x:c>
      <x:c r="B30" s="25"/>
      <x:c r="C30" s="25"/>
      <x:c r="D30" s="25"/>
      <x:c r="E30" s="25"/>
      <x:c r="F30" s="25"/>
      <x:c r="G30" s="25"/>
      <x:c r="H30" s="26"/>
    </x:row>
    <x:row r="31">
      <x:c r="A31" s="35" t="str">
        <x:v>Item</x:v>
      </x:c>
      <x:c r="B31" s="36" t="str">
        <x:v>Variable</x:v>
      </x:c>
      <x:c r="C31" s="36" t="str">
        <x:v>Question</x:v>
      </x:c>
      <x:c r="D31" s="36" t="str">
        <x:v>Component</x:v>
      </x:c>
      <x:c r="E31" s="37" t="str">
        <x:v>Raw response 1–5</x:v>
      </x:c>
    </x:row>
    <x:row r="32" ht="25" customHeight="1">
      <x:c r="A32" s="43" t="n">
        <x:v>1</x:v>
      </x:c>
      <x:c r="B32" s="43" t="str">
        <x:v>A001_01</x:v>
      </x:c>
      <x:c r="C32" s="43" t="str">
        <x:v>I felt content.</x:v>
      </x:c>
      <x:c r="D32" s="43" t="str">
        <x:v>Positive affect</x:v>
      </x:c>
      <x:c r="E32" s="47" t="n">
        <x:v>4</x:v>
      </x:c>
    </x:row>
    <x:row r="33" ht="25" customHeight="1">
      <x:c r="A33" s="44" t="n">
        <x:v>2</x:v>
      </x:c>
      <x:c r="B33" s="44" t="str">
        <x:v>A001_02</x:v>
      </x:c>
      <x:c r="C33" s="44" t="str">
        <x:v>I felt skilful.</x:v>
      </x:c>
      <x:c r="D33" s="44" t="str">
        <x:v>Competence</x:v>
      </x:c>
      <x:c r="E33" s="48" t="n">
        <x:v>4</x:v>
      </x:c>
    </x:row>
    <x:row r="34" ht="25" customHeight="1">
      <x:c r="A34" s="44" t="n">
        <x:v>3</x:v>
      </x:c>
      <x:c r="B34" s="44" t="str">
        <x:v>A001_03</x:v>
      </x:c>
      <x:c r="C34" s="44" t="str">
        <x:v>I was interested in the game's story.</x:v>
      </x:c>
      <x:c r="D34" s="44" t="str">
        <x:v>Sensory &amp; imaginative immersion</x:v>
      </x:c>
      <x:c r="E34" s="48" t="n">
        <x:v>4</x:v>
      </x:c>
    </x:row>
    <x:row r="35" ht="25" customHeight="1">
      <x:c r="A35" s="44" t="n">
        <x:v>4</x:v>
      </x:c>
      <x:c r="B35" s="44" t="str">
        <x:v>A001_04</x:v>
      </x:c>
      <x:c r="C35" s="44" t="str">
        <x:v>I thought it was fun.</x:v>
      </x:c>
      <x:c r="D35" s="44" t="str">
        <x:v>Positive affect</x:v>
      </x:c>
      <x:c r="E35" s="48" t="n">
        <x:v>4</x:v>
      </x:c>
    </x:row>
    <x:row r="36" ht="25" customHeight="1">
      <x:c r="A36" s="44" t="n">
        <x:v>5</x:v>
      </x:c>
      <x:c r="B36" s="44" t="str">
        <x:v>A001_05</x:v>
      </x:c>
      <x:c r="C36" s="44" t="str">
        <x:v>I was fully occupied with the game.</x:v>
      </x:c>
      <x:c r="D36" s="44" t="str">
        <x:v>Flow</x:v>
      </x:c>
      <x:c r="E36" s="48" t="n">
        <x:v>4</x:v>
      </x:c>
    </x:row>
    <x:row r="37" ht="25" customHeight="1">
      <x:c r="A37" s="44" t="n">
        <x:v>6</x:v>
      </x:c>
      <x:c r="B37" s="44" t="str">
        <x:v>A001_06</x:v>
      </x:c>
      <x:c r="C37" s="44" t="str">
        <x:v>I felt happy.</x:v>
      </x:c>
      <x:c r="D37" s="44" t="str">
        <x:v>Positive affect</x:v>
      </x:c>
      <x:c r="E37" s="48" t="n">
        <x:v>4</x:v>
      </x:c>
    </x:row>
    <x:row r="38" ht="25" customHeight="1">
      <x:c r="A38" s="44" t="n">
        <x:v>7</x:v>
      </x:c>
      <x:c r="B38" s="44" t="str">
        <x:v>A001_07</x:v>
      </x:c>
      <x:c r="C38" s="44" t="str">
        <x:v>It gave me a bad mood.</x:v>
      </x:c>
      <x:c r="D38" s="44" t="str">
        <x:v>Negative affect</x:v>
      </x:c>
      <x:c r="E38" s="48" t="n">
        <x:v>1</x:v>
      </x:c>
    </x:row>
    <x:row r="39" ht="25" customHeight="1">
      <x:c r="A39" s="44" t="n">
        <x:v>8</x:v>
      </x:c>
      <x:c r="B39" s="44" t="str">
        <x:v>A001_08</x:v>
      </x:c>
      <x:c r="C39" s="44" t="str">
        <x:v>I thought about other things.</x:v>
      </x:c>
      <x:c r="D39" s="44" t="str">
        <x:v>Negative affect</x:v>
      </x:c>
      <x:c r="E39" s="48" t="n">
        <x:v>2</x:v>
      </x:c>
    </x:row>
    <x:row r="40" ht="25" customHeight="1">
      <x:c r="A40" s="44" t="n">
        <x:v>9</x:v>
      </x:c>
      <x:c r="B40" s="44" t="str">
        <x:v>A001_09</x:v>
      </x:c>
      <x:c r="C40" s="44" t="str">
        <x:v>I found it tiresome.</x:v>
      </x:c>
      <x:c r="D40" s="44" t="str">
        <x:v>Negative affect</x:v>
      </x:c>
      <x:c r="E40" s="48" t="n">
        <x:v>2</x:v>
      </x:c>
    </x:row>
    <x:row r="41" ht="25" customHeight="1">
      <x:c r="A41" s="44" t="n">
        <x:v>10</x:v>
      </x:c>
      <x:c r="B41" s="44" t="str">
        <x:v>A001_10</x:v>
      </x:c>
      <x:c r="C41" s="44" t="str">
        <x:v>I felt competent.</x:v>
      </x:c>
      <x:c r="D41" s="44" t="str">
        <x:v>Competence</x:v>
      </x:c>
      <x:c r="E41" s="48" t="n">
        <x:v>4</x:v>
      </x:c>
    </x:row>
    <x:row r="42" ht="25" customHeight="1">
      <x:c r="A42" s="44" t="n">
        <x:v>11</x:v>
      </x:c>
      <x:c r="B42" s="44" t="str">
        <x:v>A001_11</x:v>
      </x:c>
      <x:c r="C42" s="44" t="str">
        <x:v>I thought it was hard.</x:v>
      </x:c>
      <x:c r="D42" s="44" t="str">
        <x:v>Challenge</x:v>
      </x:c>
      <x:c r="E42" s="48" t="n">
        <x:v>3</x:v>
      </x:c>
    </x:row>
    <x:row r="43" ht="25" customHeight="1">
      <x:c r="A43" s="44" t="n">
        <x:v>12</x:v>
      </x:c>
      <x:c r="B43" s="44" t="str">
        <x:v>A001_12</x:v>
      </x:c>
      <x:c r="C43" s="44" t="str">
        <x:v>It was aesthetically pleasing.</x:v>
      </x:c>
      <x:c r="D43" s="44" t="str">
        <x:v>Sensory &amp; imaginative immersion</x:v>
      </x:c>
      <x:c r="E43" s="48" t="n">
        <x:v>3</x:v>
      </x:c>
    </x:row>
    <x:row r="44" ht="25" customHeight="1">
      <x:c r="A44" s="44" t="n">
        <x:v>13</x:v>
      </x:c>
      <x:c r="B44" s="44" t="str">
        <x:v>A001_13</x:v>
      </x:c>
      <x:c r="C44" s="44" t="str">
        <x:v>I forgot everything around me.</x:v>
      </x:c>
      <x:c r="D44" s="44" t="str">
        <x:v>Flow</x:v>
      </x:c>
      <x:c r="E44" s="48" t="n">
        <x:v>4</x:v>
      </x:c>
    </x:row>
    <x:row r="45" ht="25" customHeight="1">
      <x:c r="A45" s="44" t="n">
        <x:v>14</x:v>
      </x:c>
      <x:c r="B45" s="44" t="str">
        <x:v>A001_14</x:v>
      </x:c>
      <x:c r="C45" s="44" t="str">
        <x:v>I felt good.</x:v>
      </x:c>
      <x:c r="D45" s="44" t="str">
        <x:v>Positive affect</x:v>
      </x:c>
      <x:c r="E45" s="48" t="n">
        <x:v>4</x:v>
      </x:c>
    </x:row>
    <x:row r="46" ht="25" customHeight="1">
      <x:c r="A46" s="44" t="n">
        <x:v>15</x:v>
      </x:c>
      <x:c r="B46" s="44" t="str">
        <x:v>A001_15</x:v>
      </x:c>
      <x:c r="C46" s="44" t="str">
        <x:v>I was good at it.</x:v>
      </x:c>
      <x:c r="D46" s="44" t="str">
        <x:v>Competence</x:v>
      </x:c>
      <x:c r="E46" s="48" t="n">
        <x:v>4</x:v>
      </x:c>
    </x:row>
    <x:row r="47" ht="25" customHeight="1">
      <x:c r="A47" s="44" t="n">
        <x:v>16</x:v>
      </x:c>
      <x:c r="B47" s="44" t="str">
        <x:v>A001_16</x:v>
      </x:c>
      <x:c r="C47" s="44" t="str">
        <x:v>I felt bored.</x:v>
      </x:c>
      <x:c r="D47" s="44" t="str">
        <x:v>Negative affect</x:v>
      </x:c>
      <x:c r="E47" s="48" t="n">
        <x:v>2</x:v>
      </x:c>
    </x:row>
    <x:row r="48" ht="25" customHeight="1">
      <x:c r="A48" s="44" t="n">
        <x:v>17</x:v>
      </x:c>
      <x:c r="B48" s="44" t="str">
        <x:v>A001_17</x:v>
      </x:c>
      <x:c r="C48" s="44" t="str">
        <x:v>I felt successful.</x:v>
      </x:c>
      <x:c r="D48" s="44" t="str">
        <x:v>Competence</x:v>
      </x:c>
      <x:c r="E48" s="48" t="n">
        <x:v>4</x:v>
      </x:c>
    </x:row>
    <x:row r="49" ht="25" customHeight="1">
      <x:c r="A49" s="44" t="n">
        <x:v>18</x:v>
      </x:c>
      <x:c r="B49" s="44" t="str">
        <x:v>A001_18</x:v>
      </x:c>
      <x:c r="C49" s="44" t="str">
        <x:v>I felt imaginative.</x:v>
      </x:c>
      <x:c r="D49" s="44" t="str">
        <x:v>Sensory &amp; imaginative immersion</x:v>
      </x:c>
      <x:c r="E49" s="48" t="n">
        <x:v>4</x:v>
      </x:c>
    </x:row>
    <x:row r="50" ht="25" customHeight="1">
      <x:c r="A50" s="44" t="n">
        <x:v>19</x:v>
      </x:c>
      <x:c r="B50" s="44" t="str">
        <x:v>A001_19</x:v>
      </x:c>
      <x:c r="C50" s="44" t="str">
        <x:v>I felt that I could explore things.</x:v>
      </x:c>
      <x:c r="D50" s="44" t="str">
        <x:v>Sensory &amp; imaginative immersion</x:v>
      </x:c>
      <x:c r="E50" s="48" t="n">
        <x:v>4</x:v>
      </x:c>
    </x:row>
    <x:row r="51" ht="25" customHeight="1">
      <x:c r="A51" s="44" t="n">
        <x:v>20</x:v>
      </x:c>
      <x:c r="B51" s="44" t="str">
        <x:v>A001_20</x:v>
      </x:c>
      <x:c r="C51" s="44" t="str">
        <x:v>I enjoyed it.</x:v>
      </x:c>
      <x:c r="D51" s="44" t="str">
        <x:v>Positive affect</x:v>
      </x:c>
      <x:c r="E51" s="48" t="n">
        <x:v>4</x:v>
      </x:c>
    </x:row>
    <x:row r="52" ht="25" customHeight="1">
      <x:c r="A52" s="44" t="n">
        <x:v>21</x:v>
      </x:c>
      <x:c r="B52" s="44" t="str">
        <x:v>A001_21</x:v>
      </x:c>
      <x:c r="C52" s="44" t="str">
        <x:v>I was fast at reaching the game's targets.</x:v>
      </x:c>
      <x:c r="D52" s="44" t="str">
        <x:v>Competence</x:v>
      </x:c>
      <x:c r="E52" s="48" t="n">
        <x:v>4</x:v>
      </x:c>
    </x:row>
    <x:row r="53" ht="25" customHeight="1">
      <x:c r="A53" s="44" t="n">
        <x:v>22</x:v>
      </x:c>
      <x:c r="B53" s="44" t="str">
        <x:v>A001_22</x:v>
      </x:c>
      <x:c r="C53" s="44" t="str">
        <x:v>I felt annoyed.</x:v>
      </x:c>
      <x:c r="D53" s="44" t="str">
        <x:v>Tension / annoyance</x:v>
      </x:c>
      <x:c r="E53" s="48" t="n">
        <x:v>2</x:v>
      </x:c>
    </x:row>
    <x:row r="54" ht="25" customHeight="1">
      <x:c r="A54" s="44" t="n">
        <x:v>23</x:v>
      </x:c>
      <x:c r="B54" s="44" t="str">
        <x:v>A001_23</x:v>
      </x:c>
      <x:c r="C54" s="44" t="str">
        <x:v>I felt pressured.</x:v>
      </x:c>
      <x:c r="D54" s="44" t="str">
        <x:v>Challenge</x:v>
      </x:c>
      <x:c r="E54" s="48" t="n">
        <x:v>3</x:v>
      </x:c>
    </x:row>
    <x:row r="55" ht="25" customHeight="1">
      <x:c r="A55" s="44" t="n">
        <x:v>24</x:v>
      </x:c>
      <x:c r="B55" s="44" t="str">
        <x:v>A001_24</x:v>
      </x:c>
      <x:c r="C55" s="44" t="str">
        <x:v>I felt irritable.</x:v>
      </x:c>
      <x:c r="D55" s="44" t="str">
        <x:v>Tension / annoyance</x:v>
      </x:c>
      <x:c r="E55" s="48" t="n">
        <x:v>2</x:v>
      </x:c>
    </x:row>
    <x:row r="56" ht="25" customHeight="1">
      <x:c r="A56" s="44" t="n">
        <x:v>25</x:v>
      </x:c>
      <x:c r="B56" s="44" t="str">
        <x:v>A001_25</x:v>
      </x:c>
      <x:c r="C56" s="44" t="str">
        <x:v>I lost track of time.</x:v>
      </x:c>
      <x:c r="D56" s="44" t="str">
        <x:v>Flow</x:v>
      </x:c>
      <x:c r="E56" s="48" t="n">
        <x:v>3</x:v>
      </x:c>
    </x:row>
    <x:row r="57" ht="25" customHeight="1">
      <x:c r="A57" s="44" t="n">
        <x:v>26</x:v>
      </x:c>
      <x:c r="B57" s="44" t="str">
        <x:v>A001_26</x:v>
      </x:c>
      <x:c r="C57" s="44" t="str">
        <x:v>I felt challenged.</x:v>
      </x:c>
      <x:c r="D57" s="44" t="str">
        <x:v>Challenge</x:v>
      </x:c>
      <x:c r="E57" s="48" t="n">
        <x:v>4</x:v>
      </x:c>
    </x:row>
    <x:row r="58" ht="25" customHeight="1">
      <x:c r="A58" s="44" t="n">
        <x:v>27</x:v>
      </x:c>
      <x:c r="B58" s="44" t="str">
        <x:v>A001_27</x:v>
      </x:c>
      <x:c r="C58" s="44" t="str">
        <x:v>I found it impressive.</x:v>
      </x:c>
      <x:c r="D58" s="44" t="str">
        <x:v>Sensory &amp; imaginative immersion</x:v>
      </x:c>
      <x:c r="E58" s="48" t="n">
        <x:v>4</x:v>
      </x:c>
    </x:row>
    <x:row r="59" ht="25" customHeight="1">
      <x:c r="A59" s="44" t="n">
        <x:v>28</x:v>
      </x:c>
      <x:c r="B59" s="44" t="str">
        <x:v>A001_28</x:v>
      </x:c>
      <x:c r="C59" s="44" t="str">
        <x:v>I was deeply concentrated in the game.</x:v>
      </x:c>
      <x:c r="D59" s="44" t="str">
        <x:v>Flow</x:v>
      </x:c>
      <x:c r="E59" s="48" t="n">
        <x:v>4</x:v>
      </x:c>
    </x:row>
    <x:row r="60" ht="25" customHeight="1">
      <x:c r="A60" s="44" t="n">
        <x:v>29</x:v>
      </x:c>
      <x:c r="B60" s="44" t="str">
        <x:v>A001_29</x:v>
      </x:c>
      <x:c r="C60" s="44" t="str">
        <x:v>I felt frustrated.</x:v>
      </x:c>
      <x:c r="D60" s="44" t="str">
        <x:v>Tension / annoyance</x:v>
      </x:c>
      <x:c r="E60" s="48" t="n">
        <x:v>2</x:v>
      </x:c>
    </x:row>
    <x:row r="61" ht="25" customHeight="1">
      <x:c r="A61" s="44" t="n">
        <x:v>30</x:v>
      </x:c>
      <x:c r="B61" s="44" t="str">
        <x:v>A001_30</x:v>
      </x:c>
      <x:c r="C61" s="44" t="str">
        <x:v>It felt like a rich experience.</x:v>
      </x:c>
      <x:c r="D61" s="44" t="str">
        <x:v>Sensory &amp; imaginative immersion</x:v>
      </x:c>
      <x:c r="E61" s="48" t="n">
        <x:v>4</x:v>
      </x:c>
    </x:row>
    <x:row r="62" ht="25" customHeight="1">
      <x:c r="A62" s="44" t="n">
        <x:v>31</x:v>
      </x:c>
      <x:c r="B62" s="44" t="str">
        <x:v>A001_31</x:v>
      </x:c>
      <x:c r="C62" s="44" t="str">
        <x:v>I lost connection with the outside world.</x:v>
      </x:c>
      <x:c r="D62" s="44" t="str">
        <x:v>Flow</x:v>
      </x:c>
      <x:c r="E62" s="48" t="n">
        <x:v>3</x:v>
      </x:c>
    </x:row>
    <x:row r="63" ht="25" customHeight="1">
      <x:c r="A63" s="44" t="n">
        <x:v>32</x:v>
      </x:c>
      <x:c r="B63" s="44" t="str">
        <x:v>A001_32</x:v>
      </x:c>
      <x:c r="C63" s="44" t="str">
        <x:v>It felt rewarding.</x:v>
      </x:c>
      <x:c r="D63" s="44" t="str">
        <x:v>Challenge</x:v>
      </x:c>
      <x:c r="E63" s="48" t="n">
        <x:v>3</x:v>
      </x:c>
    </x:row>
    <x:row r="64" ht="25" customHeight="1">
      <x:c r="A64" s="44" t="n">
        <x:v>33</x:v>
      </x:c>
      <x:c r="B64" s="44" t="str">
        <x:v>A001_33</x:v>
      </x:c>
      <x:c r="C64" s="44" t="str">
        <x:v>I put a lot of effort into it.</x:v>
      </x:c>
      <x:c r="D64" s="44" t="str">
        <x:v>Challenge</x:v>
      </x:c>
      <x:c r="E64" s="48" t="n">
        <x:v>3</x:v>
      </x:c>
    </x:row>
    <x:row r="66" ht="22" customHeight="1">
      <x:c r="A66" s="24" t="str">
        <x:v>Raw Custom 8 data — latest source, unaltered inputs</x:v>
      </x:c>
      <x:c r="B66" s="25"/>
      <x:c r="C66" s="25"/>
      <x:c r="D66" s="25"/>
      <x:c r="E66" s="25"/>
      <x:c r="F66" s="25"/>
      <x:c r="G66" s="25"/>
      <x:c r="H66" s="26"/>
    </x:row>
    <x:row r="67">
      <x:c r="A67" s="35" t="str">
        <x:v>Item</x:v>
      </x:c>
      <x:c r="B67" s="36" t="str">
        <x:v>Variable</x:v>
      </x:c>
      <x:c r="C67" s="36" t="str">
        <x:v>Question</x:v>
      </x:c>
      <x:c r="D67" s="36" t="str">
        <x:v>Type</x:v>
      </x:c>
      <x:c r="E67" s="37" t="str">
        <x:v>Raw response 1–5</x:v>
      </x:c>
    </x:row>
    <x:row r="68" ht="30" customHeight="1">
      <x:c r="A68" s="43" t="n">
        <x:v>1</x:v>
      </x:c>
      <x:c r="B68" s="43" t="str">
        <x:v>S001_01</x:v>
      </x:c>
      <x:c r="C68" s="43" t="str">
        <x:v>I felt the system correctly detected where I was looking.</x:v>
      </x:c>
      <x:c r="D68" s="43" t="str">
        <x:v>Custom</x:v>
      </x:c>
      <x:c r="E68" s="47" t="n">
        <x:v>4</x:v>
      </x:c>
    </x:row>
    <x:row r="69" ht="30" customHeight="1">
      <x:c r="A69" s="44" t="n">
        <x:v>2</x:v>
      </x:c>
      <x:c r="B69" s="44" t="str">
        <x:v>S001_02</x:v>
      </x:c>
      <x:c r="C69" s="44" t="str">
        <x:v>My eye movements felt like a natural part of the gameplay.</x:v>
      </x:c>
      <x:c r="D69" s="44" t="str">
        <x:v>Custom</x:v>
      </x:c>
      <x:c r="E69" s="48" t="n">
        <x:v>4</x:v>
      </x:c>
    </x:row>
    <x:row r="70" ht="30" customHeight="1">
      <x:c r="A70" s="44" t="n">
        <x:v>3</x:v>
      </x:c>
      <x:c r="B70" s="44" t="str">
        <x:v>S001_03</x:v>
      </x:c>
      <x:c r="C70" s="44" t="str">
        <x:v>I understood that looking at certain areas could affect the suspicion level.</x:v>
      </x:c>
      <x:c r="D70" s="44" t="str">
        <x:v>Custom</x:v>
      </x:c>
      <x:c r="E70" s="48" t="n">
        <x:v>4</x:v>
      </x:c>
    </x:row>
    <x:row r="71" ht="30" customHeight="1">
      <x:c r="A71" s="44" t="n">
        <x:v>4</x:v>
      </x:c>
      <x:c r="B71" s="44" t="str">
        <x:v>S001_04</x:v>
      </x:c>
      <x:c r="C71" s="44" t="str">
        <x:v>I understood why the suspicion level increased or decreased during the game.</x:v>
      </x:c>
      <x:c r="D71" s="44" t="str">
        <x:v>Custom</x:v>
      </x:c>
      <x:c r="E71" s="48" t="n">
        <x:v>3</x:v>
      </x:c>
    </x:row>
    <x:row r="72" ht="30" customHeight="1">
      <x:c r="A72" s="44" t="n">
        <x:v>5</x:v>
      </x:c>
      <x:c r="B72" s="44" t="str">
        <x:v>S001_05</x:v>
      </x:c>
      <x:c r="C72" s="44" t="str">
        <x:v>The suspicion meter responded to my gaze in a way that matched my expectations.</x:v>
      </x:c>
      <x:c r="D72" s="44" t="str">
        <x:v>Custom</x:v>
      </x:c>
      <x:c r="E72" s="48" t="n">
        <x:v>3</x:v>
      </x:c>
    </x:row>
    <x:row r="73" ht="30" customHeight="1">
      <x:c r="A73" s="44" t="n">
        <x:v>6</x:v>
      </x:c>
      <x:c r="B73" s="44" t="str">
        <x:v>S001_06</x:v>
      </x:c>
      <x:c r="C73" s="44" t="str">
        <x:v>I felt challenged by having to gather information while controlling my gaze.</x:v>
      </x:c>
      <x:c r="D73" s="44" t="str">
        <x:v>Custom</x:v>
      </x:c>
      <x:c r="E73" s="48" t="n">
        <x:v>4</x:v>
      </x:c>
    </x:row>
    <x:row r="74" ht="30" customHeight="1">
      <x:c r="A74" s="44" t="n">
        <x:v>7</x:v>
      </x:c>
      <x:c r="B74" s="44" t="str">
        <x:v>S001_07</x:v>
      </x:c>
      <x:c r="C74" s="44" t="str">
        <x:v>The gaze-based suspicion mechanic made the interrogation feel more tense.</x:v>
      </x:c>
      <x:c r="D74" s="44" t="str">
        <x:v>Custom</x:v>
      </x:c>
      <x:c r="E74" s="48" t="n">
        <x:v>4</x:v>
      </x:c>
    </x:row>
    <x:row r="75" ht="30" customHeight="1">
      <x:c r="A75" s="44" t="n">
        <x:v>8</x:v>
      </x:c>
      <x:c r="B75" s="44" t="str">
        <x:v>S001_08</x:v>
      </x:c>
      <x:c r="C75" s="44" t="str">
        <x:v>The gaze-based mechanic distracted me from following the story.</x:v>
      </x:c>
      <x:c r="D75" s="44" t="str">
        <x:v>Custom</x:v>
      </x:c>
      <x:c r="E75" s="48" t="n">
        <x:v>5</x:v>
      </x:c>
    </x:row>
  </x:sheetData>
  <x:mergeCells>
    <x:mergeCell ref="A1:H1"/>
    <x:mergeCell ref="A2:H2"/>
    <x:mergeCell ref="A4:H4"/>
    <x:mergeCell ref="F10:H11"/>
    <x:mergeCell ref="A15:H15"/>
    <x:mergeCell ref="A24:H24"/>
    <x:mergeCell ref="A30:H30"/>
    <x:mergeCell ref="A66:H66"/>
  </x:mergeCells>
  <x:pageMargins left="0.7" right="0.7" top="0.75" bottom="0.75" header="0.3" footer="0.3"/>
</x:worksheet>
</file>